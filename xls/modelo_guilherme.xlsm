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EstaPasta_de_trabalho" defaultThemeVersion="124226"/>
  <bookViews>
    <workbookView xWindow="0" yWindow="120" windowWidth="19200" windowHeight="8025" firstSheet="3" activeTab="3"/>
  </bookViews>
  <sheets>
    <sheet name="Relatório de resposta 1" sheetId="7" state="hidden" r:id="rId1"/>
    <sheet name="Relatório de sensibilidade 1" sheetId="8" state="hidden" r:id="rId2"/>
    <sheet name="Relatório de limites 1" sheetId="9" state="hidden" r:id="rId3"/>
    <sheet name="Otimizador" sheetId="1" r:id="rId4"/>
  </sheets>
  <definedNames>
    <definedName name="solver_adj" localSheetId="3" hidden="1">Otimizador!$J$13:$N$43,Otimizador!$S$13:$S$43</definedName>
    <definedName name="solver_cvg" localSheetId="3" hidden="1">0.0001</definedName>
    <definedName name="solver_drv" localSheetId="3" hidden="1">1</definedName>
    <definedName name="solver_est" localSheetId="3" hidden="1">1</definedName>
    <definedName name="solver_itr" localSheetId="3" hidden="1">200</definedName>
    <definedName name="solver_lhs1" localSheetId="3" hidden="1">Otimizador!$L$13:$L$43</definedName>
    <definedName name="solver_lhs10" localSheetId="3" hidden="1">Otimizador!$V$13:$V$43</definedName>
    <definedName name="solver_lhs11" localSheetId="3" hidden="1">Otimizador!$S$13:$S$43</definedName>
    <definedName name="solver_lhs12" localSheetId="3" hidden="1">Otimizador!$V$13:$V$43</definedName>
    <definedName name="solver_lhs13" localSheetId="3" hidden="1">Otimizador!$S$13:$S$43</definedName>
    <definedName name="solver_lhs14" localSheetId="3" hidden="1">Otimizador!$S$13:$S$43</definedName>
    <definedName name="solver_lhs15" localSheetId="3" hidden="1">Otimizador!#REF!</definedName>
    <definedName name="solver_lhs16" localSheetId="3" hidden="1">Otimizador!$V$13:$V$43</definedName>
    <definedName name="solver_lhs17" localSheetId="3" hidden="1">Otimizador!$O$21</definedName>
    <definedName name="solver_lhs18" localSheetId="3" hidden="1">Otimizador!$O$13</definedName>
    <definedName name="solver_lhs2" localSheetId="3" hidden="1">Otimizador!$K$13:$K$43</definedName>
    <definedName name="solver_lhs3" localSheetId="3" hidden="1">Otimizador!$N$45</definedName>
    <definedName name="solver_lhs4" localSheetId="3" hidden="1">Otimizador!$J$13:$J$43</definedName>
    <definedName name="solver_lhs5" localSheetId="3" hidden="1">Otimizador!$J$45</definedName>
    <definedName name="solver_lhs6" localSheetId="3" hidden="1">Otimizador!$O$13:$O$43</definedName>
    <definedName name="solver_lhs7" localSheetId="3" hidden="1">Otimizador!$K$45:$M$45</definedName>
    <definedName name="solver_lhs8" localSheetId="3" hidden="1">Otimizador!$M$13:$M$43</definedName>
    <definedName name="solver_lhs9" localSheetId="3" hidden="1">Otimizador!$N$13:$N$43</definedName>
    <definedName name="solver_lin" localSheetId="3" hidden="1">2</definedName>
    <definedName name="solver_neg" localSheetId="3" hidden="1">1</definedName>
    <definedName name="solver_num" localSheetId="3" hidden="1">11</definedName>
    <definedName name="solver_nwt" localSheetId="3" hidden="1">1</definedName>
    <definedName name="solver_opt" localSheetId="3" hidden="1">Otimizador!$H$5</definedName>
    <definedName name="solver_pre" localSheetId="3" hidden="1">0.001</definedName>
    <definedName name="solver_rel1" localSheetId="3" hidden="1">1</definedName>
    <definedName name="solver_rel10" localSheetId="3" hidden="1">2</definedName>
    <definedName name="solver_rel11" localSheetId="3" hidden="1">1</definedName>
    <definedName name="solver_rel12" localSheetId="3" hidden="1">2</definedName>
    <definedName name="solver_rel13" localSheetId="3" hidden="1">1</definedName>
    <definedName name="solver_rel14" localSheetId="3" hidden="1">3</definedName>
    <definedName name="solver_rel15" localSheetId="3" hidden="1">3</definedName>
    <definedName name="solver_rel16" localSheetId="3" hidden="1">2</definedName>
    <definedName name="solver_rel17" localSheetId="3" hidden="1">1</definedName>
    <definedName name="solver_rel18" localSheetId="3" hidden="1">1</definedName>
    <definedName name="solver_rel2" localSheetId="3" hidden="1">1</definedName>
    <definedName name="solver_rel3" localSheetId="3" hidden="1">3</definedName>
    <definedName name="solver_rel4" localSheetId="3" hidden="1">1</definedName>
    <definedName name="solver_rel5" localSheetId="3" hidden="1">3</definedName>
    <definedName name="solver_rel6" localSheetId="3" hidden="1">1</definedName>
    <definedName name="solver_rel7" localSheetId="3" hidden="1">2</definedName>
    <definedName name="solver_rel8" localSheetId="3" hidden="1">1</definedName>
    <definedName name="solver_rel9" localSheetId="3" hidden="1">1</definedName>
    <definedName name="solver_rhs1" localSheetId="3" hidden="1">Otimizador!$D$23</definedName>
    <definedName name="solver_rhs10" localSheetId="3" hidden="1">Otimizador!$H$13:$H$43</definedName>
    <definedName name="solver_rhs11" localSheetId="3" hidden="1">Otimizador!$T$13:$T$43</definedName>
    <definedName name="solver_rhs12" localSheetId="3" hidden="1">Otimizador!$H$13:$H$43</definedName>
    <definedName name="solver_rhs13" localSheetId="3" hidden="1">Otimizador!$D$10</definedName>
    <definedName name="solver_rhs14" localSheetId="3" hidden="1">Otimizador!$D$13</definedName>
    <definedName name="solver_rhs15" localSheetId="3" hidden="1">Otimizador!#REF!</definedName>
    <definedName name="solver_rhs16" localSheetId="3" hidden="1">Otimizador!$H$13:$H$43</definedName>
    <definedName name="solver_rhs17" localSheetId="3" hidden="1">Otimizador!#REF!</definedName>
    <definedName name="solver_rhs18" localSheetId="3" hidden="1">Otimizador!#REF!</definedName>
    <definedName name="solver_rhs2" localSheetId="3" hidden="1">Otimizador!$D$22</definedName>
    <definedName name="solver_rhs3" localSheetId="3" hidden="1">Otimizador!$N$46</definedName>
    <definedName name="solver_rhs4" localSheetId="3" hidden="1">Otimizador!$P$13:$P$43</definedName>
    <definedName name="solver_rhs5" localSheetId="3" hidden="1">Otimizador!$J$46</definedName>
    <definedName name="solver_rhs6" localSheetId="3" hidden="1">Otimizador!$Q$13:$Q$43</definedName>
    <definedName name="solver_rhs7" localSheetId="3" hidden="1">Otimizador!$K$46:$M$46</definedName>
    <definedName name="solver_rhs8" localSheetId="3" hidden="1">Otimizador!$D$24</definedName>
    <definedName name="solver_rhs9" localSheetId="3" hidden="1">Otimizador!$D$25</definedName>
    <definedName name="solver_scl" localSheetId="3" hidden="1">2</definedName>
    <definedName name="solver_sho" localSheetId="3" hidden="1">2</definedName>
    <definedName name="solver_tim" localSheetId="3" hidden="1">100</definedName>
    <definedName name="solver_tol" localSheetId="3" hidden="1">0.05</definedName>
    <definedName name="solver_typ" localSheetId="3" hidden="1">1</definedName>
    <definedName name="solver_val" localSheetId="3" hidden="1">0</definedName>
  </definedNames>
  <calcPr calcId="125725"/>
</workbook>
</file>

<file path=xl/calcChain.xml><?xml version="1.0" encoding="utf-8"?>
<calcChain xmlns="http://schemas.openxmlformats.org/spreadsheetml/2006/main">
  <c r="S45" i="1"/>
  <c r="AB4"/>
  <c r="AB5"/>
  <c r="Q13"/>
  <c r="AB7"/>
  <c r="P16"/>
  <c r="AB8"/>
  <c r="O13"/>
  <c r="X13" s="1"/>
  <c r="P13"/>
  <c r="T13"/>
  <c r="O14"/>
  <c r="X14" s="1"/>
  <c r="P14"/>
  <c r="T14"/>
  <c r="O15"/>
  <c r="X15" s="1"/>
  <c r="P15"/>
  <c r="T15"/>
  <c r="O16"/>
  <c r="X16" s="1"/>
  <c r="Q16"/>
  <c r="T16"/>
  <c r="O17"/>
  <c r="X17" s="1"/>
  <c r="P17"/>
  <c r="Q17"/>
  <c r="T17"/>
  <c r="O18"/>
  <c r="X18" s="1"/>
  <c r="P18"/>
  <c r="Q18"/>
  <c r="T18"/>
  <c r="O19"/>
  <c r="X19" s="1"/>
  <c r="P19"/>
  <c r="Q19"/>
  <c r="T19"/>
  <c r="O20"/>
  <c r="X20" s="1"/>
  <c r="P20"/>
  <c r="Q20"/>
  <c r="T20"/>
  <c r="O21"/>
  <c r="X21" s="1"/>
  <c r="P21"/>
  <c r="Q21"/>
  <c r="T21"/>
  <c r="O22"/>
  <c r="X22" s="1"/>
  <c r="P22"/>
  <c r="Q22"/>
  <c r="T22"/>
  <c r="O23"/>
  <c r="X23" s="1"/>
  <c r="P23"/>
  <c r="Q23"/>
  <c r="T23"/>
  <c r="O24"/>
  <c r="X24" s="1"/>
  <c r="P24"/>
  <c r="Q24"/>
  <c r="T24"/>
  <c r="O25"/>
  <c r="X25" s="1"/>
  <c r="P25"/>
  <c r="Q25"/>
  <c r="T25"/>
  <c r="O26"/>
  <c r="X26" s="1"/>
  <c r="P26"/>
  <c r="Q26"/>
  <c r="T26"/>
  <c r="O27"/>
  <c r="V27" s="1"/>
  <c r="Y27" s="1"/>
  <c r="P27"/>
  <c r="Q27"/>
  <c r="T27"/>
  <c r="O28"/>
  <c r="X28" s="1"/>
  <c r="P28"/>
  <c r="Q28"/>
  <c r="T28"/>
  <c r="O29"/>
  <c r="X29" s="1"/>
  <c r="P29"/>
  <c r="Q29"/>
  <c r="T29"/>
  <c r="O30"/>
  <c r="X30" s="1"/>
  <c r="P30"/>
  <c r="Q30"/>
  <c r="T30"/>
  <c r="O31"/>
  <c r="X31" s="1"/>
  <c r="P31"/>
  <c r="Q31"/>
  <c r="T31"/>
  <c r="O32"/>
  <c r="X32" s="1"/>
  <c r="P32"/>
  <c r="Q32"/>
  <c r="T32"/>
  <c r="O33"/>
  <c r="X33" s="1"/>
  <c r="P33"/>
  <c r="Q33"/>
  <c r="T33"/>
  <c r="O34"/>
  <c r="X34" s="1"/>
  <c r="P34"/>
  <c r="Q34"/>
  <c r="T34"/>
  <c r="O35"/>
  <c r="V35" s="1"/>
  <c r="Y35" s="1"/>
  <c r="P35"/>
  <c r="Q35"/>
  <c r="T35"/>
  <c r="O36"/>
  <c r="X36" s="1"/>
  <c r="P36"/>
  <c r="Q36"/>
  <c r="T36"/>
  <c r="O37"/>
  <c r="X37" s="1"/>
  <c r="P37"/>
  <c r="Q37"/>
  <c r="T37"/>
  <c r="O38"/>
  <c r="X38" s="1"/>
  <c r="P38"/>
  <c r="Q38"/>
  <c r="T38"/>
  <c r="O39"/>
  <c r="X39" s="1"/>
  <c r="P39"/>
  <c r="Q39"/>
  <c r="T39"/>
  <c r="O40"/>
  <c r="X40" s="1"/>
  <c r="P40"/>
  <c r="Q40"/>
  <c r="T40"/>
  <c r="O41"/>
  <c r="X41" s="1"/>
  <c r="P41"/>
  <c r="Q41"/>
  <c r="T41"/>
  <c r="O42"/>
  <c r="X42" s="1"/>
  <c r="P42"/>
  <c r="Q42"/>
  <c r="T42"/>
  <c r="O43"/>
  <c r="X43" s="1"/>
  <c r="P43"/>
  <c r="Q43"/>
  <c r="T43"/>
  <c r="J45"/>
  <c r="J47" s="1"/>
  <c r="K45"/>
  <c r="K47" s="1"/>
  <c r="L45"/>
  <c r="L47" s="1"/>
  <c r="M45"/>
  <c r="M47" s="1"/>
  <c r="N45"/>
  <c r="N47" s="1"/>
  <c r="J46"/>
  <c r="K46"/>
  <c r="L46"/>
  <c r="M46"/>
  <c r="N46"/>
  <c r="Q15"/>
  <c r="Q14"/>
  <c r="V14" l="1"/>
  <c r="Y14" s="1"/>
  <c r="V25"/>
  <c r="Y25" s="1"/>
  <c r="V16"/>
  <c r="Y16" s="1"/>
  <c r="V24"/>
  <c r="Y24" s="1"/>
  <c r="V36"/>
  <c r="Y36" s="1"/>
  <c r="V41"/>
  <c r="Y41" s="1"/>
  <c r="V20"/>
  <c r="Y20" s="1"/>
  <c r="V31"/>
  <c r="Y31" s="1"/>
  <c r="V37"/>
  <c r="Y37" s="1"/>
  <c r="V40"/>
  <c r="Y40" s="1"/>
  <c r="V33"/>
  <c r="Y33" s="1"/>
  <c r="V19"/>
  <c r="Y19" s="1"/>
  <c r="V39"/>
  <c r="Y39" s="1"/>
  <c r="V38"/>
  <c r="Y38" s="1"/>
  <c r="V32"/>
  <c r="Y32" s="1"/>
  <c r="V28"/>
  <c r="Y28" s="1"/>
  <c r="V22"/>
  <c r="Y22" s="1"/>
  <c r="H7"/>
  <c r="V21"/>
  <c r="Y21" s="1"/>
  <c r="O45"/>
  <c r="H5" s="1"/>
  <c r="V17"/>
  <c r="Y17" s="1"/>
  <c r="V13"/>
  <c r="Y13" s="1"/>
  <c r="V43"/>
  <c r="Y43" s="1"/>
  <c r="X35"/>
  <c r="V23"/>
  <c r="Y23" s="1"/>
  <c r="V15"/>
  <c r="Y15" s="1"/>
  <c r="X27"/>
  <c r="V29"/>
  <c r="Y29" s="1"/>
  <c r="V42"/>
  <c r="Y42" s="1"/>
  <c r="V34"/>
  <c r="Y34" s="1"/>
  <c r="V30"/>
  <c r="Y30" s="1"/>
  <c r="V26"/>
  <c r="Y26" s="1"/>
  <c r="V18"/>
  <c r="Y18" s="1"/>
  <c r="H8" l="1"/>
  <c r="H9"/>
</calcChain>
</file>

<file path=xl/sharedStrings.xml><?xml version="1.0" encoding="utf-8"?>
<sst xmlns="http://schemas.openxmlformats.org/spreadsheetml/2006/main" count="3117" uniqueCount="647">
  <si>
    <t>Dia</t>
  </si>
  <si>
    <t>Total real/aço</t>
  </si>
  <si>
    <t>Demanda/aço</t>
  </si>
  <si>
    <t>Diferença</t>
  </si>
  <si>
    <t>Consumo de gusa (t)</t>
  </si>
  <si>
    <t>Produção aço (t)</t>
  </si>
  <si>
    <t>Produção gusa AF's (t)</t>
  </si>
  <si>
    <t>ACIARIA 1</t>
  </si>
  <si>
    <t>ACIARIA 2</t>
  </si>
  <si>
    <t>Sucata max</t>
  </si>
  <si>
    <t>Rendimento AC2</t>
  </si>
  <si>
    <t>Rendimento AC1</t>
  </si>
  <si>
    <t>Perda de gusa</t>
  </si>
  <si>
    <t>Cap/dia (corr.)</t>
  </si>
  <si>
    <t>Demanda/mês (corr.)</t>
  </si>
  <si>
    <t>Peso corrida AC1 (t.)</t>
  </si>
  <si>
    <t>Peso corrida AC2 (t.)</t>
  </si>
  <si>
    <t>Aciaria 1</t>
  </si>
  <si>
    <t>Aciaria 2</t>
  </si>
  <si>
    <t>Total</t>
  </si>
  <si>
    <t>% sucata</t>
  </si>
  <si>
    <t>Performance equipamentos</t>
  </si>
  <si>
    <t>Util. Efetiva MLC4</t>
  </si>
  <si>
    <t>Util. Efetiva LD's AC2</t>
  </si>
  <si>
    <t>Prod. Efetiva MLC4</t>
  </si>
  <si>
    <t>Prod. Efetiva LD's AC2</t>
  </si>
  <si>
    <t>Cap/dia AC2</t>
  </si>
  <si>
    <t>Cap/dia AC1</t>
  </si>
  <si>
    <t>Corr/dia AC2</t>
  </si>
  <si>
    <t>Dados entrada</t>
  </si>
  <si>
    <t>Células otimizadas</t>
  </si>
  <si>
    <t>Microsoft Excel 12.0 Relatório de resposta</t>
  </si>
  <si>
    <t>Célula de destino (Máx)</t>
  </si>
  <si>
    <t>Célula</t>
  </si>
  <si>
    <t>Nome</t>
  </si>
  <si>
    <t>Valor original</t>
  </si>
  <si>
    <t>Valor final</t>
  </si>
  <si>
    <t>Células ajustáveis</t>
  </si>
  <si>
    <t>Restrições</t>
  </si>
  <si>
    <t>Valor da célula</t>
  </si>
  <si>
    <t>Fórmula</t>
  </si>
  <si>
    <t>Status</t>
  </si>
  <si>
    <t>Transigência</t>
  </si>
  <si>
    <t>$H$5</t>
  </si>
  <si>
    <t>$J$13</t>
  </si>
  <si>
    <t>$K$13</t>
  </si>
  <si>
    <t>$L$13</t>
  </si>
  <si>
    <t>$M$13</t>
  </si>
  <si>
    <t>$N$13</t>
  </si>
  <si>
    <t>$J$14</t>
  </si>
  <si>
    <t>$K$14</t>
  </si>
  <si>
    <t>$L$14</t>
  </si>
  <si>
    <t>$M$14</t>
  </si>
  <si>
    <t>$N$14</t>
  </si>
  <si>
    <t>$J$15</t>
  </si>
  <si>
    <t>$K$15</t>
  </si>
  <si>
    <t>$L$15</t>
  </si>
  <si>
    <t>$M$15</t>
  </si>
  <si>
    <t>$N$15</t>
  </si>
  <si>
    <t>$J$16</t>
  </si>
  <si>
    <t>$K$16</t>
  </si>
  <si>
    <t>$L$16</t>
  </si>
  <si>
    <t>$M$16</t>
  </si>
  <si>
    <t>$N$16</t>
  </si>
  <si>
    <t>$J$17</t>
  </si>
  <si>
    <t>$K$17</t>
  </si>
  <si>
    <t>$L$17</t>
  </si>
  <si>
    <t>$M$17</t>
  </si>
  <si>
    <t>$N$17</t>
  </si>
  <si>
    <t>$J$18</t>
  </si>
  <si>
    <t>$K$18</t>
  </si>
  <si>
    <t>$L$18</t>
  </si>
  <si>
    <t>$M$18</t>
  </si>
  <si>
    <t>$N$18</t>
  </si>
  <si>
    <t>$J$19</t>
  </si>
  <si>
    <t>$K$19</t>
  </si>
  <si>
    <t>$L$19</t>
  </si>
  <si>
    <t>$M$19</t>
  </si>
  <si>
    <t>$N$19</t>
  </si>
  <si>
    <t>$J$20</t>
  </si>
  <si>
    <t>$K$20</t>
  </si>
  <si>
    <t>$L$20</t>
  </si>
  <si>
    <t>$M$20</t>
  </si>
  <si>
    <t>$N$20</t>
  </si>
  <si>
    <t>$J$21</t>
  </si>
  <si>
    <t>$K$21</t>
  </si>
  <si>
    <t>$L$21</t>
  </si>
  <si>
    <t>$M$21</t>
  </si>
  <si>
    <t>$N$21</t>
  </si>
  <si>
    <t>$J$22</t>
  </si>
  <si>
    <t>$K$22</t>
  </si>
  <si>
    <t>$L$22</t>
  </si>
  <si>
    <t>$M$22</t>
  </si>
  <si>
    <t>$N$22</t>
  </si>
  <si>
    <t>$J$23</t>
  </si>
  <si>
    <t>$K$23</t>
  </si>
  <si>
    <t>$L$23</t>
  </si>
  <si>
    <t>$M$23</t>
  </si>
  <si>
    <t>$N$23</t>
  </si>
  <si>
    <t>$J$24</t>
  </si>
  <si>
    <t>$K$24</t>
  </si>
  <si>
    <t>$L$24</t>
  </si>
  <si>
    <t>$M$24</t>
  </si>
  <si>
    <t>$N$24</t>
  </si>
  <si>
    <t>$J$25</t>
  </si>
  <si>
    <t>$K$25</t>
  </si>
  <si>
    <t>$L$25</t>
  </si>
  <si>
    <t>$M$25</t>
  </si>
  <si>
    <t>$N$25</t>
  </si>
  <si>
    <t>$J$26</t>
  </si>
  <si>
    <t>$K$26</t>
  </si>
  <si>
    <t>$L$26</t>
  </si>
  <si>
    <t>$M$26</t>
  </si>
  <si>
    <t>$N$26</t>
  </si>
  <si>
    <t>$J$27</t>
  </si>
  <si>
    <t>$K$27</t>
  </si>
  <si>
    <t>$L$27</t>
  </si>
  <si>
    <t>$M$27</t>
  </si>
  <si>
    <t>$N$27</t>
  </si>
  <si>
    <t>$J$28</t>
  </si>
  <si>
    <t>$K$28</t>
  </si>
  <si>
    <t>$L$28</t>
  </si>
  <si>
    <t>$M$28</t>
  </si>
  <si>
    <t>$N$28</t>
  </si>
  <si>
    <t>$J$29</t>
  </si>
  <si>
    <t>$K$29</t>
  </si>
  <si>
    <t>$L$29</t>
  </si>
  <si>
    <t>$M$29</t>
  </si>
  <si>
    <t>$N$29</t>
  </si>
  <si>
    <t>$J$30</t>
  </si>
  <si>
    <t>$K$30</t>
  </si>
  <si>
    <t>$L$30</t>
  </si>
  <si>
    <t>$M$30</t>
  </si>
  <si>
    <t>$N$30</t>
  </si>
  <si>
    <t>$J$31</t>
  </si>
  <si>
    <t>$K$31</t>
  </si>
  <si>
    <t>$L$31</t>
  </si>
  <si>
    <t>$M$31</t>
  </si>
  <si>
    <t>$N$31</t>
  </si>
  <si>
    <t>$J$32</t>
  </si>
  <si>
    <t>$K$32</t>
  </si>
  <si>
    <t>$L$32</t>
  </si>
  <si>
    <t>$M$32</t>
  </si>
  <si>
    <t>$N$32</t>
  </si>
  <si>
    <t>$J$33</t>
  </si>
  <si>
    <t>$K$33</t>
  </si>
  <si>
    <t>$L$33</t>
  </si>
  <si>
    <t>$M$33</t>
  </si>
  <si>
    <t>$N$33</t>
  </si>
  <si>
    <t>$J$34</t>
  </si>
  <si>
    <t>$K$34</t>
  </si>
  <si>
    <t>$L$34</t>
  </si>
  <si>
    <t>$M$34</t>
  </si>
  <si>
    <t>$N$34</t>
  </si>
  <si>
    <t>$J$35</t>
  </si>
  <si>
    <t>$K$35</t>
  </si>
  <si>
    <t>$L$35</t>
  </si>
  <si>
    <t>$M$35</t>
  </si>
  <si>
    <t>$N$35</t>
  </si>
  <si>
    <t>$J$36</t>
  </si>
  <si>
    <t>$K$36</t>
  </si>
  <si>
    <t>$L$36</t>
  </si>
  <si>
    <t>$M$36</t>
  </si>
  <si>
    <t>$N$36</t>
  </si>
  <si>
    <t>$J$37</t>
  </si>
  <si>
    <t>$K$37</t>
  </si>
  <si>
    <t>$L$37</t>
  </si>
  <si>
    <t>$M$37</t>
  </si>
  <si>
    <t>$N$37</t>
  </si>
  <si>
    <t>$J$38</t>
  </si>
  <si>
    <t>$K$38</t>
  </si>
  <si>
    <t>$L$38</t>
  </si>
  <si>
    <t>$M$38</t>
  </si>
  <si>
    <t>$N$38</t>
  </si>
  <si>
    <t>$J$39</t>
  </si>
  <si>
    <t>$K$39</t>
  </si>
  <si>
    <t>$L$39</t>
  </si>
  <si>
    <t>$M$39</t>
  </si>
  <si>
    <t>$N$39</t>
  </si>
  <si>
    <t>$J$40</t>
  </si>
  <si>
    <t>$K$40</t>
  </si>
  <si>
    <t>$L$40</t>
  </si>
  <si>
    <t>$M$40</t>
  </si>
  <si>
    <t>$N$40</t>
  </si>
  <si>
    <t>$J$41</t>
  </si>
  <si>
    <t>$K$41</t>
  </si>
  <si>
    <t>$L$41</t>
  </si>
  <si>
    <t>$M$41</t>
  </si>
  <si>
    <t>$N$41</t>
  </si>
  <si>
    <t>$J$42</t>
  </si>
  <si>
    <t>$K$42</t>
  </si>
  <si>
    <t>$L$42</t>
  </si>
  <si>
    <t>$M$42</t>
  </si>
  <si>
    <t>$N$42</t>
  </si>
  <si>
    <t>$J$43</t>
  </si>
  <si>
    <t>$K$43</t>
  </si>
  <si>
    <t>$L$43</t>
  </si>
  <si>
    <t>$M$43</t>
  </si>
  <si>
    <t>$N$43</t>
  </si>
  <si>
    <t>$S$13</t>
  </si>
  <si>
    <t>$S$14</t>
  </si>
  <si>
    <t>$S$15</t>
  </si>
  <si>
    <t>Perda de gusa % sucata</t>
  </si>
  <si>
    <t>$S$16</t>
  </si>
  <si>
    <t>Rendimento AC1 % sucata</t>
  </si>
  <si>
    <t>$S$17</t>
  </si>
  <si>
    <t>Rendimento AC2 % sucata</t>
  </si>
  <si>
    <t>$S$18</t>
  </si>
  <si>
    <t>$S$19</t>
  </si>
  <si>
    <t>Demanda/mês (corr.) % sucata</t>
  </si>
  <si>
    <t>$S$20</t>
  </si>
  <si>
    <t>$S$21</t>
  </si>
  <si>
    <t>$S$22</t>
  </si>
  <si>
    <t>$S$23</t>
  </si>
  <si>
    <t>$S$24</t>
  </si>
  <si>
    <t>$S$25</t>
  </si>
  <si>
    <t>$S$26</t>
  </si>
  <si>
    <t>$S$27</t>
  </si>
  <si>
    <t>$S$28</t>
  </si>
  <si>
    <t>$S$29</t>
  </si>
  <si>
    <t>$S$30</t>
  </si>
  <si>
    <t>$S$31</t>
  </si>
  <si>
    <t>$S$32</t>
  </si>
  <si>
    <t>$S$33</t>
  </si>
  <si>
    <t>$S$34</t>
  </si>
  <si>
    <t>$S$35</t>
  </si>
  <si>
    <t>$S$36</t>
  </si>
  <si>
    <t>$S$37</t>
  </si>
  <si>
    <t>$S$38</t>
  </si>
  <si>
    <t>$S$39</t>
  </si>
  <si>
    <t>$S$40</t>
  </si>
  <si>
    <t>$S$41</t>
  </si>
  <si>
    <t>$S$42</t>
  </si>
  <si>
    <t>$S$43</t>
  </si>
  <si>
    <t>$N$45</t>
  </si>
  <si>
    <t>$N$45&gt;=$N$46</t>
  </si>
  <si>
    <t>Sem agrupar</t>
  </si>
  <si>
    <t>$J$45</t>
  </si>
  <si>
    <t>$J$45&gt;=$J$46</t>
  </si>
  <si>
    <t>$O$13</t>
  </si>
  <si>
    <t>$O$13&lt;=$Q$13</t>
  </si>
  <si>
    <t>Agrupar</t>
  </si>
  <si>
    <t>$O$14</t>
  </si>
  <si>
    <t>$O$14&lt;=$Q$14</t>
  </si>
  <si>
    <t>$O$15</t>
  </si>
  <si>
    <t>$O$15&lt;=$Q$15</t>
  </si>
  <si>
    <t>$O$16</t>
  </si>
  <si>
    <t>$O$16&lt;=$Q$16</t>
  </si>
  <si>
    <t>$O$17</t>
  </si>
  <si>
    <t>$O$17&lt;=$Q$17</t>
  </si>
  <si>
    <t>$O$18</t>
  </si>
  <si>
    <t>$O$18&lt;=$Q$18</t>
  </si>
  <si>
    <t>$O$19</t>
  </si>
  <si>
    <t>$O$19&lt;=$Q$19</t>
  </si>
  <si>
    <t>$O$20</t>
  </si>
  <si>
    <t>$O$20&lt;=$Q$20</t>
  </si>
  <si>
    <t>$O$21</t>
  </si>
  <si>
    <t>$O$21&lt;=$Q$21</t>
  </si>
  <si>
    <t>$O$22</t>
  </si>
  <si>
    <t>$O$22&lt;=$Q$22</t>
  </si>
  <si>
    <t>$O$23</t>
  </si>
  <si>
    <t>$O$23&lt;=$Q$23</t>
  </si>
  <si>
    <t>$O$24</t>
  </si>
  <si>
    <t>$O$24&lt;=$Q$24</t>
  </si>
  <si>
    <t>$O$25</t>
  </si>
  <si>
    <t>$O$25&lt;=$Q$25</t>
  </si>
  <si>
    <t>$O$26</t>
  </si>
  <si>
    <t>$O$26&lt;=$Q$26</t>
  </si>
  <si>
    <t>$O$27</t>
  </si>
  <si>
    <t>$O$27&lt;=$Q$27</t>
  </si>
  <si>
    <t>$O$28</t>
  </si>
  <si>
    <t>$O$28&lt;=$Q$28</t>
  </si>
  <si>
    <t>$O$29</t>
  </si>
  <si>
    <t>$O$29&lt;=$Q$29</t>
  </si>
  <si>
    <t>$O$30</t>
  </si>
  <si>
    <t>$O$30&lt;=$Q$30</t>
  </si>
  <si>
    <t>$O$31</t>
  </si>
  <si>
    <t>$O$31&lt;=$Q$31</t>
  </si>
  <si>
    <t>$O$32</t>
  </si>
  <si>
    <t>$O$32&lt;=$Q$32</t>
  </si>
  <si>
    <t>$O$33</t>
  </si>
  <si>
    <t>$O$33&lt;=$Q$33</t>
  </si>
  <si>
    <t>$O$34</t>
  </si>
  <si>
    <t>$O$34&lt;=$Q$34</t>
  </si>
  <si>
    <t>$O$35</t>
  </si>
  <si>
    <t>$O$35&lt;=$Q$35</t>
  </si>
  <si>
    <t>$O$36</t>
  </si>
  <si>
    <t>$O$36&lt;=$Q$36</t>
  </si>
  <si>
    <t>$O$37</t>
  </si>
  <si>
    <t>$O$37&lt;=$Q$37</t>
  </si>
  <si>
    <t>$O$38</t>
  </si>
  <si>
    <t>$O$38&lt;=$Q$38</t>
  </si>
  <si>
    <t>$O$39</t>
  </si>
  <si>
    <t>$O$39&lt;=$Q$39</t>
  </si>
  <si>
    <t>$O$40</t>
  </si>
  <si>
    <t>$O$40&lt;=$Q$40</t>
  </si>
  <si>
    <t>$O$41</t>
  </si>
  <si>
    <t>$O$41&lt;=$Q$41</t>
  </si>
  <si>
    <t>$O$42</t>
  </si>
  <si>
    <t>$O$42&lt;=$Q$42</t>
  </si>
  <si>
    <t>$O$43</t>
  </si>
  <si>
    <t>$O$43&lt;=$Q$43</t>
  </si>
  <si>
    <t>$K$45</t>
  </si>
  <si>
    <t>$K$45=$K$46</t>
  </si>
  <si>
    <t>$L$45</t>
  </si>
  <si>
    <t>$L$45=$L$46</t>
  </si>
  <si>
    <t>$M$45</t>
  </si>
  <si>
    <t>$M$45=$M$46</t>
  </si>
  <si>
    <t>$V$13</t>
  </si>
  <si>
    <t>$V$13=$H$13</t>
  </si>
  <si>
    <t>$V$14</t>
  </si>
  <si>
    <t>$V$14=$H$14</t>
  </si>
  <si>
    <t>$V$15</t>
  </si>
  <si>
    <t>$V$15=$H$15</t>
  </si>
  <si>
    <t>$V$16</t>
  </si>
  <si>
    <t>$V$16=$H$16</t>
  </si>
  <si>
    <t>$V$17</t>
  </si>
  <si>
    <t>$V$17=$H$17</t>
  </si>
  <si>
    <t>$V$18</t>
  </si>
  <si>
    <t>$V$18=$H$18</t>
  </si>
  <si>
    <t>$V$19</t>
  </si>
  <si>
    <t>$V$19=$H$19</t>
  </si>
  <si>
    <t>$V$20</t>
  </si>
  <si>
    <t>$V$20=$H$20</t>
  </si>
  <si>
    <t>$V$21</t>
  </si>
  <si>
    <t>$V$21=$H$21</t>
  </si>
  <si>
    <t>$V$22</t>
  </si>
  <si>
    <t>$V$22=$H$22</t>
  </si>
  <si>
    <t>$V$23</t>
  </si>
  <si>
    <t>$V$23=$H$23</t>
  </si>
  <si>
    <t>$V$24</t>
  </si>
  <si>
    <t>$V$24=$H$24</t>
  </si>
  <si>
    <t>$V$25</t>
  </si>
  <si>
    <t>$V$25=$H$25</t>
  </si>
  <si>
    <t>$V$26</t>
  </si>
  <si>
    <t>$V$26=$H$26</t>
  </si>
  <si>
    <t>$V$27</t>
  </si>
  <si>
    <t>$V$27=$H$27</t>
  </si>
  <si>
    <t>$V$28</t>
  </si>
  <si>
    <t>$V$28=$H$28</t>
  </si>
  <si>
    <t>$V$29</t>
  </si>
  <si>
    <t>$V$29=$H$29</t>
  </si>
  <si>
    <t>$V$30</t>
  </si>
  <si>
    <t>$V$30=$H$30</t>
  </si>
  <si>
    <t>$V$31</t>
  </si>
  <si>
    <t>$V$31=$H$31</t>
  </si>
  <si>
    <t>$V$32</t>
  </si>
  <si>
    <t>$V$32=$H$32</t>
  </si>
  <si>
    <t>$V$33</t>
  </si>
  <si>
    <t>$V$33=$H$33</t>
  </si>
  <si>
    <t>$V$34</t>
  </si>
  <si>
    <t>$V$34=$H$34</t>
  </si>
  <si>
    <t>$V$35</t>
  </si>
  <si>
    <t>$V$35=$H$35</t>
  </si>
  <si>
    <t>$V$36</t>
  </si>
  <si>
    <t>$V$36=$H$36</t>
  </si>
  <si>
    <t>$V$37</t>
  </si>
  <si>
    <t>$V$37=$H$37</t>
  </si>
  <si>
    <t>$V$38</t>
  </si>
  <si>
    <t>$V$38=$H$38</t>
  </si>
  <si>
    <t>$V$39</t>
  </si>
  <si>
    <t>$V$39=$H$39</t>
  </si>
  <si>
    <t>$V$40</t>
  </si>
  <si>
    <t>$V$40=$H$40</t>
  </si>
  <si>
    <t>$V$41</t>
  </si>
  <si>
    <t>$V$41=$H$41</t>
  </si>
  <si>
    <t>$V$42</t>
  </si>
  <si>
    <t>$V$42=$H$42</t>
  </si>
  <si>
    <t>$V$43</t>
  </si>
  <si>
    <t>$V$43=$H$43</t>
  </si>
  <si>
    <t>$L$13&lt;=$D$23</t>
  </si>
  <si>
    <t>$L$14&lt;=$D$23</t>
  </si>
  <si>
    <t>$L$15&lt;=$D$23</t>
  </si>
  <si>
    <t>$L$16&lt;=$D$23</t>
  </si>
  <si>
    <t>$L$17&lt;=$D$23</t>
  </si>
  <si>
    <t>$L$18&lt;=$D$23</t>
  </si>
  <si>
    <t>$L$19&lt;=$D$23</t>
  </si>
  <si>
    <t>$L$20&lt;=$D$23</t>
  </si>
  <si>
    <t>$L$21&lt;=$D$23</t>
  </si>
  <si>
    <t>$L$22&lt;=$D$23</t>
  </si>
  <si>
    <t>$L$23&lt;=$D$23</t>
  </si>
  <si>
    <t>$L$24&lt;=$D$23</t>
  </si>
  <si>
    <t>$L$25&lt;=$D$23</t>
  </si>
  <si>
    <t>$L$26&lt;=$D$23</t>
  </si>
  <si>
    <t>$L$27&lt;=$D$23</t>
  </si>
  <si>
    <t>$L$28&lt;=$D$23</t>
  </si>
  <si>
    <t>$L$29&lt;=$D$23</t>
  </si>
  <si>
    <t>$L$30&lt;=$D$23</t>
  </si>
  <si>
    <t>$L$31&lt;=$D$23</t>
  </si>
  <si>
    <t>$L$32&lt;=$D$23</t>
  </si>
  <si>
    <t>$L$33&lt;=$D$23</t>
  </si>
  <si>
    <t>$L$34&lt;=$D$23</t>
  </si>
  <si>
    <t>$L$35&lt;=$D$23</t>
  </si>
  <si>
    <t>$L$36&lt;=$D$23</t>
  </si>
  <si>
    <t>$L$37&lt;=$D$23</t>
  </si>
  <si>
    <t>$L$38&lt;=$D$23</t>
  </si>
  <si>
    <t>$L$39&lt;=$D$23</t>
  </si>
  <si>
    <t>$L$40&lt;=$D$23</t>
  </si>
  <si>
    <t>$L$41&lt;=$D$23</t>
  </si>
  <si>
    <t>$L$42&lt;=$D$23</t>
  </si>
  <si>
    <t>$L$43&lt;=$D$23</t>
  </si>
  <si>
    <t>$K$13&lt;=$D$22</t>
  </si>
  <si>
    <t>$K$14&lt;=$D$22</t>
  </si>
  <si>
    <t>$K$15&lt;=$D$22</t>
  </si>
  <si>
    <t>$K$16&lt;=$D$22</t>
  </si>
  <si>
    <t>$K$17&lt;=$D$22</t>
  </si>
  <si>
    <t>$K$18&lt;=$D$22</t>
  </si>
  <si>
    <t>$K$19&lt;=$D$22</t>
  </si>
  <si>
    <t>$K$20&lt;=$D$22</t>
  </si>
  <si>
    <t>$K$21&lt;=$D$22</t>
  </si>
  <si>
    <t>$K$22&lt;=$D$22</t>
  </si>
  <si>
    <t>$K$23&lt;=$D$22</t>
  </si>
  <si>
    <t>$K$24&lt;=$D$22</t>
  </si>
  <si>
    <t>$K$25&lt;=$D$22</t>
  </si>
  <si>
    <t>$K$26&lt;=$D$22</t>
  </si>
  <si>
    <t>$K$27&lt;=$D$22</t>
  </si>
  <si>
    <t>$K$28&lt;=$D$22</t>
  </si>
  <si>
    <t>$K$29&lt;=$D$22</t>
  </si>
  <si>
    <t>$K$30&lt;=$D$22</t>
  </si>
  <si>
    <t>$K$31&lt;=$D$22</t>
  </si>
  <si>
    <t>$K$32&lt;=$D$22</t>
  </si>
  <si>
    <t>$K$33&lt;=$D$22</t>
  </si>
  <si>
    <t>$K$34&lt;=$D$22</t>
  </si>
  <si>
    <t>$K$35&lt;=$D$22</t>
  </si>
  <si>
    <t>$K$36&lt;=$D$22</t>
  </si>
  <si>
    <t>$K$37&lt;=$D$22</t>
  </si>
  <si>
    <t>$K$38&lt;=$D$22</t>
  </si>
  <si>
    <t>$K$39&lt;=$D$22</t>
  </si>
  <si>
    <t>$K$40&lt;=$D$22</t>
  </si>
  <si>
    <t>$K$41&lt;=$D$22</t>
  </si>
  <si>
    <t>$K$42&lt;=$D$22</t>
  </si>
  <si>
    <t>$K$43&lt;=$D$22</t>
  </si>
  <si>
    <t>$J$13&lt;=$P$13</t>
  </si>
  <si>
    <t>$J$14&lt;=$P$14</t>
  </si>
  <si>
    <t>$J$15&lt;=$P$15</t>
  </si>
  <si>
    <t>$J$16&lt;=$P$16</t>
  </si>
  <si>
    <t>$J$17&lt;=$P$17</t>
  </si>
  <si>
    <t>$J$18&lt;=$P$18</t>
  </si>
  <si>
    <t>$J$19&lt;=$P$19</t>
  </si>
  <si>
    <t>$J$20&lt;=$P$20</t>
  </si>
  <si>
    <t>$J$21&lt;=$P$21</t>
  </si>
  <si>
    <t>$J$22&lt;=$P$22</t>
  </si>
  <si>
    <t>$J$23&lt;=$P$23</t>
  </si>
  <si>
    <t>$J$24&lt;=$P$24</t>
  </si>
  <si>
    <t>$J$25&lt;=$P$25</t>
  </si>
  <si>
    <t>$J$26&lt;=$P$26</t>
  </si>
  <si>
    <t>$J$27&lt;=$P$27</t>
  </si>
  <si>
    <t>$J$28&lt;=$P$28</t>
  </si>
  <si>
    <t>$J$29&lt;=$P$29</t>
  </si>
  <si>
    <t>$J$30&lt;=$P$30</t>
  </si>
  <si>
    <t>$J$31&lt;=$P$31</t>
  </si>
  <si>
    <t>$J$32&lt;=$P$32</t>
  </si>
  <si>
    <t>$J$33&lt;=$P$33</t>
  </si>
  <si>
    <t>$J$34&lt;=$P$34</t>
  </si>
  <si>
    <t>$J$35&lt;=$P$35</t>
  </si>
  <si>
    <t>$J$36&lt;=$P$36</t>
  </si>
  <si>
    <t>$J$37&lt;=$P$37</t>
  </si>
  <si>
    <t>$J$38&lt;=$P$38</t>
  </si>
  <si>
    <t>$J$39&lt;=$P$39</t>
  </si>
  <si>
    <t>$J$40&lt;=$P$40</t>
  </si>
  <si>
    <t>$J$41&lt;=$P$41</t>
  </si>
  <si>
    <t>$J$42&lt;=$P$42</t>
  </si>
  <si>
    <t>$J$43&lt;=$P$43</t>
  </si>
  <si>
    <t>$M$13&lt;=$D$24</t>
  </si>
  <si>
    <t>$M$14&lt;=$D$24</t>
  </si>
  <si>
    <t>$M$15&lt;=$D$24</t>
  </si>
  <si>
    <t>$M$16&lt;=$D$24</t>
  </si>
  <si>
    <t>$M$17&lt;=$D$24</t>
  </si>
  <si>
    <t>$M$18&lt;=$D$24</t>
  </si>
  <si>
    <t>$M$19&lt;=$D$24</t>
  </si>
  <si>
    <t>$M$20&lt;=$D$24</t>
  </si>
  <si>
    <t>$M$21&lt;=$D$24</t>
  </si>
  <si>
    <t>$M$22&lt;=$D$24</t>
  </si>
  <si>
    <t>$M$23&lt;=$D$24</t>
  </si>
  <si>
    <t>$M$24&lt;=$D$24</t>
  </si>
  <si>
    <t>$M$25&lt;=$D$24</t>
  </si>
  <si>
    <t>$M$26&lt;=$D$24</t>
  </si>
  <si>
    <t>$M$27&lt;=$D$24</t>
  </si>
  <si>
    <t>$M$28&lt;=$D$24</t>
  </si>
  <si>
    <t>$M$29&lt;=$D$24</t>
  </si>
  <si>
    <t>$M$30&lt;=$D$24</t>
  </si>
  <si>
    <t>$M$31&lt;=$D$24</t>
  </si>
  <si>
    <t>$M$32&lt;=$D$24</t>
  </si>
  <si>
    <t>$M$33&lt;=$D$24</t>
  </si>
  <si>
    <t>$M$34&lt;=$D$24</t>
  </si>
  <si>
    <t>$M$35&lt;=$D$24</t>
  </si>
  <si>
    <t>$M$36&lt;=$D$24</t>
  </si>
  <si>
    <t>$M$37&lt;=$D$24</t>
  </si>
  <si>
    <t>$M$38&lt;=$D$24</t>
  </si>
  <si>
    <t>$M$39&lt;=$D$24</t>
  </si>
  <si>
    <t>$M$40&lt;=$D$24</t>
  </si>
  <si>
    <t>$M$41&lt;=$D$24</t>
  </si>
  <si>
    <t>$M$42&lt;=$D$24</t>
  </si>
  <si>
    <t>$M$43&lt;=$D$24</t>
  </si>
  <si>
    <t>$N$13&lt;=$D$25</t>
  </si>
  <si>
    <t>$N$14&lt;=$D$25</t>
  </si>
  <si>
    <t>$N$15&lt;=$D$25</t>
  </si>
  <si>
    <t>$N$16&lt;=$D$25</t>
  </si>
  <si>
    <t>$N$17&lt;=$D$25</t>
  </si>
  <si>
    <t>$N$18&lt;=$D$25</t>
  </si>
  <si>
    <t>$N$19&lt;=$D$25</t>
  </si>
  <si>
    <t>$N$20&lt;=$D$25</t>
  </si>
  <si>
    <t>$N$21&lt;=$D$25</t>
  </si>
  <si>
    <t>$N$22&lt;=$D$25</t>
  </si>
  <si>
    <t>$N$23&lt;=$D$25</t>
  </si>
  <si>
    <t>$N$24&lt;=$D$25</t>
  </si>
  <si>
    <t>$N$25&lt;=$D$25</t>
  </si>
  <si>
    <t>$N$26&lt;=$D$25</t>
  </si>
  <si>
    <t>$N$27&lt;=$D$25</t>
  </si>
  <si>
    <t>$N$28&lt;=$D$25</t>
  </si>
  <si>
    <t>$N$29&lt;=$D$25</t>
  </si>
  <si>
    <t>$N$30&lt;=$D$25</t>
  </si>
  <si>
    <t>$N$31&lt;=$D$25</t>
  </si>
  <si>
    <t>$N$32&lt;=$D$25</t>
  </si>
  <si>
    <t>$N$33&lt;=$D$25</t>
  </si>
  <si>
    <t>$N$34&lt;=$D$25</t>
  </si>
  <si>
    <t>$N$35&lt;=$D$25</t>
  </si>
  <si>
    <t>$N$36&lt;=$D$25</t>
  </si>
  <si>
    <t>$N$37&lt;=$D$25</t>
  </si>
  <si>
    <t>$N$38&lt;=$D$25</t>
  </si>
  <si>
    <t>$N$39&lt;=$D$25</t>
  </si>
  <si>
    <t>$N$40&lt;=$D$25</t>
  </si>
  <si>
    <t>$N$41&lt;=$D$25</t>
  </si>
  <si>
    <t>$N$42&lt;=$D$25</t>
  </si>
  <si>
    <t>$N$43&lt;=$D$25</t>
  </si>
  <si>
    <t>$S$13&lt;=$T$13</t>
  </si>
  <si>
    <t>$S$14&lt;=$T$14</t>
  </si>
  <si>
    <t>$S$15&lt;=$T$15</t>
  </si>
  <si>
    <t>$S$16&lt;=$T$16</t>
  </si>
  <si>
    <t>$S$17&lt;=$T$17</t>
  </si>
  <si>
    <t>$S$18&lt;=$T$18</t>
  </si>
  <si>
    <t>$S$19&lt;=$T$19</t>
  </si>
  <si>
    <t>$S$20&lt;=$T$20</t>
  </si>
  <si>
    <t>$S$21&lt;=$T$21</t>
  </si>
  <si>
    <t>$S$22&lt;=$T$22</t>
  </si>
  <si>
    <t>$S$23&lt;=$T$23</t>
  </si>
  <si>
    <t>$S$24&lt;=$T$24</t>
  </si>
  <si>
    <t>$S$25&lt;=$T$25</t>
  </si>
  <si>
    <t>$S$26&lt;=$T$26</t>
  </si>
  <si>
    <t>$S$27&lt;=$T$27</t>
  </si>
  <si>
    <t>$S$28&lt;=$T$28</t>
  </si>
  <si>
    <t>$S$29&lt;=$T$29</t>
  </si>
  <si>
    <t>$S$30&lt;=$T$30</t>
  </si>
  <si>
    <t>$S$31&lt;=$T$31</t>
  </si>
  <si>
    <t>$S$32&lt;=$T$32</t>
  </si>
  <si>
    <t>$S$33&lt;=$T$33</t>
  </si>
  <si>
    <t>$S$34&lt;=$T$34</t>
  </si>
  <si>
    <t>$S$35&lt;=$T$35</t>
  </si>
  <si>
    <t>$S$36&lt;=$T$36</t>
  </si>
  <si>
    <t>$S$37&lt;=$T$37</t>
  </si>
  <si>
    <t>$S$38&lt;=$T$38</t>
  </si>
  <si>
    <t>$S$39&lt;=$T$39</t>
  </si>
  <si>
    <t>$S$40&lt;=$T$40</t>
  </si>
  <si>
    <t>$S$41&lt;=$T$41</t>
  </si>
  <si>
    <t>$S$42&lt;=$T$42</t>
  </si>
  <si>
    <t>$S$43&lt;=$T$43</t>
  </si>
  <si>
    <t>Microsoft Excel 12.0 Relatório de sensibilidade</t>
  </si>
  <si>
    <t>Final</t>
  </si>
  <si>
    <t>Valor</t>
  </si>
  <si>
    <t>Reduzido</t>
  </si>
  <si>
    <t>Gradiente</t>
  </si>
  <si>
    <t>Lagrange</t>
  </si>
  <si>
    <t>Multiplicador</t>
  </si>
  <si>
    <t>Microsoft Excel 12.0 Relatório de limites</t>
  </si>
  <si>
    <t>Planilha: [Programador producao_aula otimizacao.xls]Relatório de limites 1</t>
  </si>
  <si>
    <t>Destino</t>
  </si>
  <si>
    <t>Ajustável</t>
  </si>
  <si>
    <t>Inferior</t>
  </si>
  <si>
    <t>Limite</t>
  </si>
  <si>
    <t>Resultado</t>
  </si>
  <si>
    <t>Superior</t>
  </si>
  <si>
    <t>#N/D</t>
  </si>
  <si>
    <t>Aço 2 (DR)</t>
  </si>
  <si>
    <t>Aço 3 (RH)</t>
  </si>
  <si>
    <t>Aço 4 (FP)</t>
  </si>
  <si>
    <t>Aço 5 (Comum)</t>
  </si>
  <si>
    <t>Aço 1 (Comum+FP AC1)</t>
  </si>
  <si>
    <t>RESULTADO</t>
  </si>
  <si>
    <t>PROGRAMADOR DE PRODUÇÃO - ACIARIAS IPATINGA</t>
  </si>
  <si>
    <t>Parada MLC4 (h)</t>
  </si>
  <si>
    <t>Parada LD4 (h)</t>
  </si>
  <si>
    <t>Parada LD5 (h)</t>
  </si>
  <si>
    <t>Produção de aço (t)</t>
  </si>
  <si>
    <t>Prod_aço2 (DR)</t>
  </si>
  <si>
    <t>Prod_aço3 (RH)</t>
  </si>
  <si>
    <t>Prod_aço4 (FP)</t>
  </si>
  <si>
    <t>Prod_aço1 (Comum+FP AC1)</t>
  </si>
  <si>
    <t>Prod_aço5 (Comum)</t>
  </si>
  <si>
    <t>Planilha: [Programador producao_aula otimizacao.xls]Otimizador</t>
  </si>
  <si>
    <t>Relatório criado: 02/11/2014 23:48:14</t>
  </si>
  <si>
    <t>Perda de gusa Prod_aço1 (Comum+FP AC1)</t>
  </si>
  <si>
    <t>Perda de gusa Prod_aço2 (DR)</t>
  </si>
  <si>
    <t>Perda de gusa Prod_aço3 (RH)</t>
  </si>
  <si>
    <t>Perda de gusa Prod_aço4 (FP)</t>
  </si>
  <si>
    <t>Perda de gusa Prod_aço5 (Comum)</t>
  </si>
  <si>
    <t>Rendimento AC1 Prod_aço1 (Comum+FP AC1)</t>
  </si>
  <si>
    <t>Rendimento AC1 Prod_aço2 (DR)</t>
  </si>
  <si>
    <t>Rendimento AC1 Prod_aço3 (RH)</t>
  </si>
  <si>
    <t>Rendimento AC1 Prod_aço4 (FP)</t>
  </si>
  <si>
    <t>Rendimento AC1 Prod_aço5 (Comum)</t>
  </si>
  <si>
    <t>Rendimento AC2 Prod_aço1 (Comum+FP AC1)</t>
  </si>
  <si>
    <t>Rendimento AC2 Prod_aço2 (DR)</t>
  </si>
  <si>
    <t>Rendimento AC2 Prod_aço3 (RH)</t>
  </si>
  <si>
    <t>Rendimento AC2 Prod_aço4 (FP)</t>
  </si>
  <si>
    <t>Rendimento AC2 Prod_aço5 (Comum)</t>
  </si>
  <si>
    <t>Demanda/mês (corr.) Prod_aço1 (Comum+FP AC1)</t>
  </si>
  <si>
    <t>Demanda/mês (corr.) Prod_aço2 (DR)</t>
  </si>
  <si>
    <t>Demanda/mês (corr.) Prod_aço3 (RH)</t>
  </si>
  <si>
    <t>Demanda/mês (corr.) Prod_aço4 (FP)</t>
  </si>
  <si>
    <t>Demanda/mês (corr.) Prod_aço5 (Comum)</t>
  </si>
  <si>
    <t>Aço 1 (Comum+FP AC1) Prod_aço1 (Comum+FP AC1)</t>
  </si>
  <si>
    <t>Aço 1 (Comum+FP AC1) Prod_aço2 (DR)</t>
  </si>
  <si>
    <t>Aço 1 (Comum+FP AC1) Prod_aço3 (RH)</t>
  </si>
  <si>
    <t>Aço 1 (Comum+FP AC1) Prod_aço4 (FP)</t>
  </si>
  <si>
    <t>Aço 1 (Comum+FP AC1) Prod_aço5 (Comum)</t>
  </si>
  <si>
    <t>Aço 2 (DR) Prod_aço1 (Comum+FP AC1)</t>
  </si>
  <si>
    <t>Aço 2 (DR) Prod_aço2 (DR)</t>
  </si>
  <si>
    <t>Aço 2 (DR) Prod_aço3 (RH)</t>
  </si>
  <si>
    <t>Aço 2 (DR) Prod_aço4 (FP)</t>
  </si>
  <si>
    <t>Aço 2 (DR) Prod_aço5 (Comum)</t>
  </si>
  <si>
    <t>Aço 3 (RH) Prod_aço1 (Comum+FP AC1)</t>
  </si>
  <si>
    <t>Aço 3 (RH) Prod_aço2 (DR)</t>
  </si>
  <si>
    <t>Aço 3 (RH) Prod_aço3 (RH)</t>
  </si>
  <si>
    <t>Aço 3 (RH) Prod_aço4 (FP)</t>
  </si>
  <si>
    <t>Aço 3 (RH) Prod_aço5 (Comum)</t>
  </si>
  <si>
    <t>Aço 4 (FP) Prod_aço1 (Comum+FP AC1)</t>
  </si>
  <si>
    <t>Aço 4 (FP) Prod_aço2 (DR)</t>
  </si>
  <si>
    <t>Aço 4 (FP) Prod_aço3 (RH)</t>
  </si>
  <si>
    <t>Aço 4 (FP) Prod_aço4 (FP)</t>
  </si>
  <si>
    <t>Aço 4 (FP) Prod_aço5 (Comum)</t>
  </si>
  <si>
    <t>Aço 5 (Comum) Prod_aço1 (Comum+FP AC1)</t>
  </si>
  <si>
    <t>Aço 5 (Comum) Prod_aço2 (DR)</t>
  </si>
  <si>
    <t>Aço 5 (Comum) Prod_aço3 (RH)</t>
  </si>
  <si>
    <t>Aço 5 (Comum) Prod_aço4 (FP)</t>
  </si>
  <si>
    <t>Aço 5 (Comum) Prod_aço5 (Comum)</t>
  </si>
  <si>
    <t>Aço 1 (Comum+FP AC1) % sucata</t>
  </si>
  <si>
    <t>Aço 2 (DR) % sucata</t>
  </si>
  <si>
    <t>Aço 3 (RH) % sucata</t>
  </si>
  <si>
    <t>Aço 4 (FP) % sucata</t>
  </si>
  <si>
    <t>Aço 5 (Comum) % sucata</t>
  </si>
  <si>
    <t>Total real/aço Prod_aço5 (Comum)</t>
  </si>
  <si>
    <t>Total real/aço Prod_aço1 (Comum+FP AC1)</t>
  </si>
  <si>
    <t>Total real/aço Prod_aço2 (DR)</t>
  </si>
  <si>
    <t>Total real/aço Prod_aço3 (RH)</t>
  </si>
  <si>
    <t>Total real/aço Prod_aço4 (FP)</t>
  </si>
  <si>
    <t>Relatório criado: 02/11/2014 23:48:15</t>
  </si>
  <si>
    <t>Relatório criado: 02/11/2014 23:48:16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</si>
</sst>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"/>
    <numFmt numFmtId="166" formatCode="0.0%"/>
  </numFmts>
  <fonts count="11">
    <font>
      <sz val="10"/>
      <color theme="1"/>
      <name val="Verdana"/>
      <family val="2"/>
    </font>
    <font>
      <b/>
      <sz val="10"/>
      <color indexed="18"/>
      <name val="Verdana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2"/>
      <color theme="1"/>
      <name val="Verdana"/>
      <family val="2"/>
    </font>
    <font>
      <sz val="9"/>
      <color theme="0"/>
      <name val="Verdana"/>
      <family val="2"/>
    </font>
    <font>
      <b/>
      <sz val="9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sz val="10"/>
      <color rgb="FF000000"/>
      <name val="Verdana"/>
      <family val="2"/>
    </font>
    <font>
      <sz val="10"/>
      <color rgb="FFFF000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0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/>
    <xf numFmtId="1" fontId="0" fillId="0" borderId="0" xfId="0" applyNumberFormat="1" applyAlignment="1">
      <alignment horizontal="center"/>
    </xf>
    <xf numFmtId="9" fontId="2" fillId="0" borderId="0" xfId="1" applyFont="1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6" fontId="2" fillId="0" borderId="0" xfId="1" applyNumberFormat="1" applyFont="1" applyAlignment="1">
      <alignment horizontal="center"/>
    </xf>
    <xf numFmtId="1" fontId="3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6" fontId="2" fillId="2" borderId="0" xfId="1" applyNumberFormat="1" applyFont="1" applyFill="1" applyAlignment="1">
      <alignment horizontal="center" vertical="center"/>
    </xf>
    <xf numFmtId="1" fontId="3" fillId="0" borderId="0" xfId="0" applyNumberFormat="1" applyFont="1" applyAlignment="1">
      <alignment vertical="center"/>
    </xf>
    <xf numFmtId="166" fontId="2" fillId="0" borderId="0" xfId="1" applyNumberFormat="1" applyFont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1" fontId="0" fillId="0" borderId="0" xfId="0" applyNumberFormat="1"/>
    <xf numFmtId="166" fontId="2" fillId="0" borderId="0" xfId="1" applyNumberFormat="1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3" fillId="0" borderId="0" xfId="0" applyNumberFormat="1" applyFont="1" applyAlignment="1">
      <alignment horizontal="center"/>
    </xf>
    <xf numFmtId="165" fontId="0" fillId="3" borderId="0" xfId="0" applyNumberFormat="1" applyFill="1" applyAlignment="1">
      <alignment horizontal="center"/>
    </xf>
    <xf numFmtId="1" fontId="0" fillId="3" borderId="0" xfId="0" applyNumberForma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1" fontId="0" fillId="3" borderId="3" xfId="0" applyNumberFormat="1" applyFill="1" applyBorder="1" applyAlignment="1">
      <alignment horizontal="center"/>
    </xf>
    <xf numFmtId="0" fontId="0" fillId="0" borderId="4" xfId="0" applyFill="1" applyBorder="1" applyAlignment="1"/>
    <xf numFmtId="0" fontId="0" fillId="0" borderId="5" xfId="0" applyFill="1" applyBorder="1" applyAlignment="1"/>
    <xf numFmtId="3" fontId="0" fillId="0" borderId="4" xfId="0" applyNumberFormat="1" applyFill="1" applyBorder="1" applyAlignment="1"/>
    <xf numFmtId="1" fontId="0" fillId="0" borderId="5" xfId="0" applyNumberFormat="1" applyFill="1" applyBorder="1" applyAlignment="1"/>
    <xf numFmtId="165" fontId="0" fillId="0" borderId="5" xfId="0" applyNumberFormat="1" applyFill="1" applyBorder="1" applyAlignment="1"/>
    <xf numFmtId="165" fontId="0" fillId="0" borderId="4" xfId="0" applyNumberFormat="1" applyFill="1" applyBorder="1" applyAlignment="1"/>
    <xf numFmtId="1" fontId="0" fillId="0" borderId="4" xfId="0" applyNumberFormat="1" applyFill="1" applyBorder="1" applyAlignment="1"/>
    <xf numFmtId="0" fontId="3" fillId="0" borderId="0" xfId="0" applyFont="1" applyAlignment="1">
      <alignment horizontal="center"/>
    </xf>
    <xf numFmtId="166" fontId="2" fillId="0" borderId="0" xfId="1" applyNumberFormat="1" applyFont="1" applyFill="1" applyAlignment="1">
      <alignment horizontal="center" vertical="center"/>
    </xf>
    <xf numFmtId="0" fontId="0" fillId="0" borderId="0" xfId="0" applyFill="1"/>
    <xf numFmtId="0" fontId="4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3" fontId="3" fillId="0" borderId="7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3" fontId="3" fillId="0" borderId="8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1" fontId="0" fillId="2" borderId="3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/>
    </xf>
    <xf numFmtId="1" fontId="0" fillId="2" borderId="3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1" fontId="0" fillId="0" borderId="0" xfId="0" applyNumberFormat="1" applyFill="1" applyAlignment="1">
      <alignment horizontal="center"/>
    </xf>
    <xf numFmtId="0" fontId="7" fillId="0" borderId="9" xfId="0" applyFont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0" fillId="0" borderId="5" xfId="0" applyFill="1" applyBorder="1" applyAlignment="1">
      <alignment horizontal="right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/>
    </xf>
  </cellXfs>
  <cellStyles count="2">
    <cellStyle name="Normal" xfId="0" builtinId="0"/>
    <cellStyle name="Porcentagem" xfId="1" builtinId="5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"/>
  <dimension ref="A1:H455"/>
  <sheetViews>
    <sheetView showGridLines="0" topLeftCell="A254" workbookViewId="0">
      <selection activeCell="E280" sqref="E280"/>
    </sheetView>
  </sheetViews>
  <sheetFormatPr defaultRowHeight="12.75"/>
  <cols>
    <col min="1" max="1" width="2.125" customWidth="1"/>
    <col min="2" max="2" width="6.75" customWidth="1"/>
    <col min="3" max="3" width="46" bestFit="1" customWidth="1"/>
    <col min="4" max="4" width="14.625" bestFit="1" customWidth="1"/>
    <col min="5" max="6" width="13.75" bestFit="1" customWidth="1"/>
    <col min="7" max="7" width="11.25" bestFit="1" customWidth="1"/>
    <col min="8" max="8" width="12.625" bestFit="1" customWidth="1"/>
  </cols>
  <sheetData>
    <row r="1" spans="1:6">
      <c r="A1" s="1" t="s">
        <v>31</v>
      </c>
    </row>
    <row r="2" spans="1:6">
      <c r="A2" s="1" t="s">
        <v>588</v>
      </c>
    </row>
    <row r="3" spans="1:6">
      <c r="A3" s="1" t="s">
        <v>589</v>
      </c>
    </row>
    <row r="6" spans="1:6" ht="13.5" thickBot="1">
      <c r="A6" t="s">
        <v>32</v>
      </c>
    </row>
    <row r="7" spans="1:6" ht="13.5" thickBot="1">
      <c r="B7" s="70" t="s">
        <v>33</v>
      </c>
      <c r="C7" s="70" t="s">
        <v>34</v>
      </c>
      <c r="D7" s="70" t="s">
        <v>35</v>
      </c>
      <c r="E7" s="70" t="s">
        <v>36</v>
      </c>
    </row>
    <row r="8" spans="1:6" ht="13.5" thickBot="1">
      <c r="B8" s="45" t="s">
        <v>43</v>
      </c>
      <c r="C8" s="45" t="s">
        <v>578</v>
      </c>
      <c r="D8" s="47">
        <v>775</v>
      </c>
      <c r="E8" s="47">
        <v>2633.8899554191053</v>
      </c>
    </row>
    <row r="11" spans="1:6" ht="13.5" thickBot="1">
      <c r="A11" t="s">
        <v>37</v>
      </c>
    </row>
    <row r="12" spans="1:6" ht="13.5" thickBot="1">
      <c r="B12" s="70" t="s">
        <v>33</v>
      </c>
      <c r="C12" s="70" t="s">
        <v>34</v>
      </c>
      <c r="D12" s="70" t="s">
        <v>0</v>
      </c>
      <c r="E12" s="70" t="s">
        <v>35</v>
      </c>
      <c r="F12" s="70" t="s">
        <v>36</v>
      </c>
    </row>
    <row r="13" spans="1:6">
      <c r="B13" s="46" t="s">
        <v>44</v>
      </c>
      <c r="C13" s="46" t="s">
        <v>586</v>
      </c>
      <c r="D13" s="46">
        <v>1</v>
      </c>
      <c r="E13" s="48">
        <v>5</v>
      </c>
      <c r="F13" s="48">
        <v>44.425679999999993</v>
      </c>
    </row>
    <row r="14" spans="1:6">
      <c r="B14" s="46" t="s">
        <v>45</v>
      </c>
      <c r="C14" s="46" t="s">
        <v>583</v>
      </c>
      <c r="D14" s="46">
        <v>1</v>
      </c>
      <c r="E14" s="48">
        <v>5</v>
      </c>
      <c r="F14" s="48">
        <v>0</v>
      </c>
    </row>
    <row r="15" spans="1:6">
      <c r="B15" s="46" t="s">
        <v>46</v>
      </c>
      <c r="C15" s="46" t="s">
        <v>584</v>
      </c>
      <c r="D15" s="46">
        <v>1</v>
      </c>
      <c r="E15" s="48">
        <v>5</v>
      </c>
      <c r="F15" s="48">
        <v>0</v>
      </c>
    </row>
    <row r="16" spans="1:6">
      <c r="B16" s="46" t="s">
        <v>47</v>
      </c>
      <c r="C16" s="46" t="s">
        <v>585</v>
      </c>
      <c r="D16" s="46">
        <v>1</v>
      </c>
      <c r="E16" s="48">
        <v>5</v>
      </c>
      <c r="F16" s="48">
        <v>0</v>
      </c>
    </row>
    <row r="17" spans="2:6">
      <c r="B17" s="46" t="s">
        <v>48</v>
      </c>
      <c r="C17" s="46" t="s">
        <v>587</v>
      </c>
      <c r="D17" s="46">
        <v>1</v>
      </c>
      <c r="E17" s="48">
        <v>5</v>
      </c>
      <c r="F17" s="48">
        <v>47.647799272727276</v>
      </c>
    </row>
    <row r="18" spans="2:6">
      <c r="B18" s="46" t="s">
        <v>49</v>
      </c>
      <c r="C18" s="46" t="s">
        <v>586</v>
      </c>
      <c r="D18" s="46">
        <v>2</v>
      </c>
      <c r="E18" s="48">
        <v>5</v>
      </c>
      <c r="F18" s="48">
        <v>44.425679999999993</v>
      </c>
    </row>
    <row r="19" spans="2:6">
      <c r="B19" s="46" t="s">
        <v>50</v>
      </c>
      <c r="C19" s="46" t="s">
        <v>583</v>
      </c>
      <c r="D19" s="46">
        <v>2</v>
      </c>
      <c r="E19" s="48">
        <v>5</v>
      </c>
      <c r="F19" s="48">
        <v>0</v>
      </c>
    </row>
    <row r="20" spans="2:6">
      <c r="B20" s="46" t="s">
        <v>51</v>
      </c>
      <c r="C20" s="46" t="s">
        <v>584</v>
      </c>
      <c r="D20" s="46">
        <v>2</v>
      </c>
      <c r="E20" s="48">
        <v>5</v>
      </c>
      <c r="F20" s="48">
        <v>-9.9999999999944578E-4</v>
      </c>
    </row>
    <row r="21" spans="2:6">
      <c r="B21" s="46" t="s">
        <v>52</v>
      </c>
      <c r="C21" s="46" t="s">
        <v>585</v>
      </c>
      <c r="D21" s="46">
        <v>2</v>
      </c>
      <c r="E21" s="48">
        <v>5</v>
      </c>
      <c r="F21" s="48">
        <v>0</v>
      </c>
    </row>
    <row r="22" spans="2:6">
      <c r="B22" s="46" t="s">
        <v>53</v>
      </c>
      <c r="C22" s="46" t="s">
        <v>587</v>
      </c>
      <c r="D22" s="46">
        <v>2</v>
      </c>
      <c r="E22" s="48">
        <v>5</v>
      </c>
      <c r="F22" s="48">
        <v>47.648799272727274</v>
      </c>
    </row>
    <row r="23" spans="2:6">
      <c r="B23" s="46" t="s">
        <v>54</v>
      </c>
      <c r="C23" s="46" t="s">
        <v>586</v>
      </c>
      <c r="D23" s="46">
        <v>3</v>
      </c>
      <c r="E23" s="48">
        <v>5</v>
      </c>
      <c r="F23" s="48">
        <v>44.425679999999993</v>
      </c>
    </row>
    <row r="24" spans="2:6">
      <c r="B24" s="46" t="s">
        <v>55</v>
      </c>
      <c r="C24" s="46" t="s">
        <v>583</v>
      </c>
      <c r="D24" s="46">
        <v>3</v>
      </c>
      <c r="E24" s="48">
        <v>5</v>
      </c>
      <c r="F24" s="48">
        <v>-9.9999999999988987E-4</v>
      </c>
    </row>
    <row r="25" spans="2:6">
      <c r="B25" s="46" t="s">
        <v>56</v>
      </c>
      <c r="C25" s="46" t="s">
        <v>584</v>
      </c>
      <c r="D25" s="46">
        <v>3</v>
      </c>
      <c r="E25" s="48">
        <v>5</v>
      </c>
      <c r="F25" s="48">
        <v>-9.9999999999988987E-4</v>
      </c>
    </row>
    <row r="26" spans="2:6">
      <c r="B26" s="46" t="s">
        <v>57</v>
      </c>
      <c r="C26" s="46" t="s">
        <v>585</v>
      </c>
      <c r="D26" s="46">
        <v>3</v>
      </c>
      <c r="E26" s="48">
        <v>5</v>
      </c>
      <c r="F26" s="48">
        <v>-9.9999999999944578E-4</v>
      </c>
    </row>
    <row r="27" spans="2:6">
      <c r="B27" s="46" t="s">
        <v>58</v>
      </c>
      <c r="C27" s="46" t="s">
        <v>587</v>
      </c>
      <c r="D27" s="46">
        <v>3</v>
      </c>
      <c r="E27" s="48">
        <v>5</v>
      </c>
      <c r="F27" s="48">
        <v>47.650799272727276</v>
      </c>
    </row>
    <row r="28" spans="2:6">
      <c r="B28" s="46" t="s">
        <v>59</v>
      </c>
      <c r="C28" s="46" t="s">
        <v>586</v>
      </c>
      <c r="D28" s="46">
        <v>4</v>
      </c>
      <c r="E28" s="48">
        <v>5</v>
      </c>
      <c r="F28" s="48">
        <v>44.425679999999993</v>
      </c>
    </row>
    <row r="29" spans="2:6">
      <c r="B29" s="46" t="s">
        <v>60</v>
      </c>
      <c r="C29" s="46" t="s">
        <v>583</v>
      </c>
      <c r="D29" s="46">
        <v>4</v>
      </c>
      <c r="E29" s="48">
        <v>5</v>
      </c>
      <c r="F29" s="48">
        <v>12</v>
      </c>
    </row>
    <row r="30" spans="2:6">
      <c r="B30" s="46" t="s">
        <v>61</v>
      </c>
      <c r="C30" s="46" t="s">
        <v>584</v>
      </c>
      <c r="D30" s="46">
        <v>4</v>
      </c>
      <c r="E30" s="48">
        <v>5</v>
      </c>
      <c r="F30" s="48">
        <v>0</v>
      </c>
    </row>
    <row r="31" spans="2:6">
      <c r="B31" s="46" t="s">
        <v>62</v>
      </c>
      <c r="C31" s="46" t="s">
        <v>585</v>
      </c>
      <c r="D31" s="46">
        <v>4</v>
      </c>
      <c r="E31" s="48">
        <v>5</v>
      </c>
      <c r="F31" s="48">
        <v>-9.9999999999944578E-4</v>
      </c>
    </row>
    <row r="32" spans="2:6">
      <c r="B32" s="46" t="s">
        <v>63</v>
      </c>
      <c r="C32" s="46" t="s">
        <v>587</v>
      </c>
      <c r="D32" s="46">
        <v>4</v>
      </c>
      <c r="E32" s="48">
        <v>5</v>
      </c>
      <c r="F32" s="48">
        <v>35.648799272727281</v>
      </c>
    </row>
    <row r="33" spans="2:6">
      <c r="B33" s="46" t="s">
        <v>64</v>
      </c>
      <c r="C33" s="46" t="s">
        <v>586</v>
      </c>
      <c r="D33" s="46">
        <v>5</v>
      </c>
      <c r="E33" s="48">
        <v>5</v>
      </c>
      <c r="F33" s="48">
        <v>44.425679999999993</v>
      </c>
    </row>
    <row r="34" spans="2:6">
      <c r="B34" s="46" t="s">
        <v>65</v>
      </c>
      <c r="C34" s="46" t="s">
        <v>583</v>
      </c>
      <c r="D34" s="46">
        <v>5</v>
      </c>
      <c r="E34" s="48">
        <v>5</v>
      </c>
      <c r="F34" s="48">
        <v>12</v>
      </c>
    </row>
    <row r="35" spans="2:6">
      <c r="B35" s="46" t="s">
        <v>66</v>
      </c>
      <c r="C35" s="46" t="s">
        <v>584</v>
      </c>
      <c r="D35" s="46">
        <v>5</v>
      </c>
      <c r="E35" s="48">
        <v>5</v>
      </c>
      <c r="F35" s="48">
        <v>-9.9999999999988987E-4</v>
      </c>
    </row>
    <row r="36" spans="2:6">
      <c r="B36" s="46" t="s">
        <v>67</v>
      </c>
      <c r="C36" s="46" t="s">
        <v>585</v>
      </c>
      <c r="D36" s="46">
        <v>5</v>
      </c>
      <c r="E36" s="48">
        <v>5</v>
      </c>
      <c r="F36" s="48">
        <v>-9.9999999999988987E-4</v>
      </c>
    </row>
    <row r="37" spans="2:6">
      <c r="B37" s="46" t="s">
        <v>68</v>
      </c>
      <c r="C37" s="46" t="s">
        <v>587</v>
      </c>
      <c r="D37" s="46">
        <v>5</v>
      </c>
      <c r="E37" s="48">
        <v>5</v>
      </c>
      <c r="F37" s="48">
        <v>35.649799272727279</v>
      </c>
    </row>
    <row r="38" spans="2:6">
      <c r="B38" s="46" t="s">
        <v>69</v>
      </c>
      <c r="C38" s="46" t="s">
        <v>586</v>
      </c>
      <c r="D38" s="46">
        <v>6</v>
      </c>
      <c r="E38" s="48">
        <v>5</v>
      </c>
      <c r="F38" s="48">
        <v>44.425679999999993</v>
      </c>
    </row>
    <row r="39" spans="2:6">
      <c r="B39" s="46" t="s">
        <v>70</v>
      </c>
      <c r="C39" s="46" t="s">
        <v>583</v>
      </c>
      <c r="D39" s="46">
        <v>6</v>
      </c>
      <c r="E39" s="48">
        <v>5</v>
      </c>
      <c r="F39" s="48">
        <v>12</v>
      </c>
    </row>
    <row r="40" spans="2:6">
      <c r="B40" s="46" t="s">
        <v>71</v>
      </c>
      <c r="C40" s="46" t="s">
        <v>584</v>
      </c>
      <c r="D40" s="46">
        <v>6</v>
      </c>
      <c r="E40" s="48">
        <v>5</v>
      </c>
      <c r="F40" s="48">
        <v>0</v>
      </c>
    </row>
    <row r="41" spans="2:6">
      <c r="B41" s="46" t="s">
        <v>72</v>
      </c>
      <c r="C41" s="46" t="s">
        <v>585</v>
      </c>
      <c r="D41" s="46">
        <v>6</v>
      </c>
      <c r="E41" s="48">
        <v>5</v>
      </c>
      <c r="F41" s="48">
        <v>0</v>
      </c>
    </row>
    <row r="42" spans="2:6">
      <c r="B42" s="46" t="s">
        <v>73</v>
      </c>
      <c r="C42" s="46" t="s">
        <v>587</v>
      </c>
      <c r="D42" s="46">
        <v>6</v>
      </c>
      <c r="E42" s="48">
        <v>5</v>
      </c>
      <c r="F42" s="48">
        <v>35.647799272727276</v>
      </c>
    </row>
    <row r="43" spans="2:6">
      <c r="B43" s="46" t="s">
        <v>74</v>
      </c>
      <c r="C43" s="46" t="s">
        <v>586</v>
      </c>
      <c r="D43" s="46">
        <v>7</v>
      </c>
      <c r="E43" s="48">
        <v>5</v>
      </c>
      <c r="F43" s="48">
        <v>44.42568</v>
      </c>
    </row>
    <row r="44" spans="2:6">
      <c r="B44" s="46" t="s">
        <v>75</v>
      </c>
      <c r="C44" s="46" t="s">
        <v>583</v>
      </c>
      <c r="D44" s="46">
        <v>7</v>
      </c>
      <c r="E44" s="48">
        <v>5</v>
      </c>
      <c r="F44" s="48">
        <v>12.000999999999999</v>
      </c>
    </row>
    <row r="45" spans="2:6">
      <c r="B45" s="46" t="s">
        <v>76</v>
      </c>
      <c r="C45" s="46" t="s">
        <v>584</v>
      </c>
      <c r="D45" s="46">
        <v>7</v>
      </c>
      <c r="E45" s="48">
        <v>5</v>
      </c>
      <c r="F45" s="48">
        <v>27.058431736066922</v>
      </c>
    </row>
    <row r="46" spans="2:6">
      <c r="B46" s="46" t="s">
        <v>77</v>
      </c>
      <c r="C46" s="46" t="s">
        <v>585</v>
      </c>
      <c r="D46" s="46">
        <v>7</v>
      </c>
      <c r="E46" s="48">
        <v>5</v>
      </c>
      <c r="F46" s="48">
        <v>0</v>
      </c>
    </row>
    <row r="47" spans="2:6">
      <c r="B47" s="46" t="s">
        <v>78</v>
      </c>
      <c r="C47" s="46" t="s">
        <v>587</v>
      </c>
      <c r="D47" s="46">
        <v>7</v>
      </c>
      <c r="E47" s="48">
        <v>5</v>
      </c>
      <c r="F47" s="48">
        <v>0</v>
      </c>
    </row>
    <row r="48" spans="2:6">
      <c r="B48" s="46" t="s">
        <v>79</v>
      </c>
      <c r="C48" s="46" t="s">
        <v>586</v>
      </c>
      <c r="D48" s="46">
        <v>8</v>
      </c>
      <c r="E48" s="48">
        <v>5</v>
      </c>
      <c r="F48" s="48">
        <v>44.42568</v>
      </c>
    </row>
    <row r="49" spans="2:6">
      <c r="B49" s="46" t="s">
        <v>80</v>
      </c>
      <c r="C49" s="46" t="s">
        <v>583</v>
      </c>
      <c r="D49" s="46">
        <v>8</v>
      </c>
      <c r="E49" s="48">
        <v>5</v>
      </c>
      <c r="F49" s="48">
        <v>0</v>
      </c>
    </row>
    <row r="50" spans="2:6">
      <c r="B50" s="46" t="s">
        <v>81</v>
      </c>
      <c r="C50" s="46" t="s">
        <v>584</v>
      </c>
      <c r="D50" s="46">
        <v>8</v>
      </c>
      <c r="E50" s="48">
        <v>5</v>
      </c>
      <c r="F50" s="48">
        <v>35.848051571385795</v>
      </c>
    </row>
    <row r="51" spans="2:6">
      <c r="B51" s="46" t="s">
        <v>82</v>
      </c>
      <c r="C51" s="46" t="s">
        <v>585</v>
      </c>
      <c r="D51" s="46">
        <v>8</v>
      </c>
      <c r="E51" s="48">
        <v>5</v>
      </c>
      <c r="F51" s="48">
        <v>0.52162601961780442</v>
      </c>
    </row>
    <row r="52" spans="2:6">
      <c r="B52" s="46" t="s">
        <v>83</v>
      </c>
      <c r="C52" s="46" t="s">
        <v>587</v>
      </c>
      <c r="D52" s="46">
        <v>8</v>
      </c>
      <c r="E52" s="48">
        <v>5</v>
      </c>
      <c r="F52" s="48">
        <v>0</v>
      </c>
    </row>
    <row r="53" spans="2:6">
      <c r="B53" s="46" t="s">
        <v>84</v>
      </c>
      <c r="C53" s="46" t="s">
        <v>586</v>
      </c>
      <c r="D53" s="46">
        <v>9</v>
      </c>
      <c r="E53" s="48">
        <v>5</v>
      </c>
      <c r="F53" s="48">
        <v>44.42568</v>
      </c>
    </row>
    <row r="54" spans="2:6">
      <c r="B54" s="46" t="s">
        <v>85</v>
      </c>
      <c r="C54" s="46" t="s">
        <v>583</v>
      </c>
      <c r="D54" s="46">
        <v>9</v>
      </c>
      <c r="E54" s="48">
        <v>5</v>
      </c>
      <c r="F54" s="48">
        <v>10.001469279946001</v>
      </c>
    </row>
    <row r="55" spans="2:6">
      <c r="B55" s="46" t="s">
        <v>86</v>
      </c>
      <c r="C55" s="46" t="s">
        <v>584</v>
      </c>
      <c r="D55" s="46">
        <v>9</v>
      </c>
      <c r="E55" s="48">
        <v>5</v>
      </c>
      <c r="F55" s="48">
        <v>27.710488062772541</v>
      </c>
    </row>
    <row r="56" spans="2:6">
      <c r="B56" s="46" t="s">
        <v>87</v>
      </c>
      <c r="C56" s="46" t="s">
        <v>585</v>
      </c>
      <c r="D56" s="46">
        <v>9</v>
      </c>
      <c r="E56" s="48">
        <v>5</v>
      </c>
      <c r="F56" s="48">
        <v>4.0372285384156346</v>
      </c>
    </row>
    <row r="57" spans="2:6">
      <c r="B57" s="46" t="s">
        <v>88</v>
      </c>
      <c r="C57" s="46" t="s">
        <v>587</v>
      </c>
      <c r="D57" s="46">
        <v>9</v>
      </c>
      <c r="E57" s="48">
        <v>5</v>
      </c>
      <c r="F57" s="48">
        <v>0</v>
      </c>
    </row>
    <row r="58" spans="2:6">
      <c r="B58" s="46" t="s">
        <v>89</v>
      </c>
      <c r="C58" s="46" t="s">
        <v>586</v>
      </c>
      <c r="D58" s="46">
        <v>10</v>
      </c>
      <c r="E58" s="48">
        <v>5</v>
      </c>
      <c r="F58" s="48">
        <v>44.42568</v>
      </c>
    </row>
    <row r="59" spans="2:6">
      <c r="B59" s="46" t="s">
        <v>90</v>
      </c>
      <c r="C59" s="46" t="s">
        <v>583</v>
      </c>
      <c r="D59" s="46">
        <v>10</v>
      </c>
      <c r="E59" s="48">
        <v>5</v>
      </c>
      <c r="F59" s="48">
        <v>12</v>
      </c>
    </row>
    <row r="60" spans="2:6">
      <c r="B60" s="46" t="s">
        <v>91</v>
      </c>
      <c r="C60" s="46" t="s">
        <v>584</v>
      </c>
      <c r="D60" s="46">
        <v>10</v>
      </c>
      <c r="E60" s="48">
        <v>5</v>
      </c>
      <c r="F60" s="48">
        <v>33.111378562468197</v>
      </c>
    </row>
    <row r="61" spans="2:6">
      <c r="B61" s="46" t="s">
        <v>92</v>
      </c>
      <c r="C61" s="46" t="s">
        <v>585</v>
      </c>
      <c r="D61" s="46">
        <v>10</v>
      </c>
      <c r="E61" s="48">
        <v>5</v>
      </c>
      <c r="F61" s="48">
        <v>0</v>
      </c>
    </row>
    <row r="62" spans="2:6">
      <c r="B62" s="46" t="s">
        <v>93</v>
      </c>
      <c r="C62" s="46" t="s">
        <v>587</v>
      </c>
      <c r="D62" s="46">
        <v>10</v>
      </c>
      <c r="E62" s="48">
        <v>5</v>
      </c>
      <c r="F62" s="48">
        <v>0</v>
      </c>
    </row>
    <row r="63" spans="2:6">
      <c r="B63" s="46" t="s">
        <v>94</v>
      </c>
      <c r="C63" s="46" t="s">
        <v>586</v>
      </c>
      <c r="D63" s="46">
        <v>11</v>
      </c>
      <c r="E63" s="48">
        <v>5</v>
      </c>
      <c r="F63" s="48">
        <v>44.42568</v>
      </c>
    </row>
    <row r="64" spans="2:6">
      <c r="B64" s="46" t="s">
        <v>95</v>
      </c>
      <c r="C64" s="46" t="s">
        <v>583</v>
      </c>
      <c r="D64" s="46">
        <v>11</v>
      </c>
      <c r="E64" s="48">
        <v>5</v>
      </c>
      <c r="F64" s="48">
        <v>12</v>
      </c>
    </row>
    <row r="65" spans="2:6">
      <c r="B65" s="46" t="s">
        <v>96</v>
      </c>
      <c r="C65" s="46" t="s">
        <v>584</v>
      </c>
      <c r="D65" s="46">
        <v>11</v>
      </c>
      <c r="E65" s="48">
        <v>5</v>
      </c>
      <c r="F65" s="48">
        <v>28.789857535321044</v>
      </c>
    </row>
    <row r="66" spans="2:6">
      <c r="B66" s="46" t="s">
        <v>97</v>
      </c>
      <c r="C66" s="46" t="s">
        <v>585</v>
      </c>
      <c r="D66" s="46">
        <v>11</v>
      </c>
      <c r="E66" s="48">
        <v>5</v>
      </c>
      <c r="F66" s="48">
        <v>5.3378255457207731</v>
      </c>
    </row>
    <row r="67" spans="2:6">
      <c r="B67" s="46" t="s">
        <v>98</v>
      </c>
      <c r="C67" s="46" t="s">
        <v>587</v>
      </c>
      <c r="D67" s="46">
        <v>11</v>
      </c>
      <c r="E67" s="48">
        <v>5</v>
      </c>
      <c r="F67" s="48">
        <v>1.5201161916854553</v>
      </c>
    </row>
    <row r="68" spans="2:6">
      <c r="B68" s="46" t="s">
        <v>99</v>
      </c>
      <c r="C68" s="46" t="s">
        <v>586</v>
      </c>
      <c r="D68" s="46">
        <v>12</v>
      </c>
      <c r="E68" s="48">
        <v>5</v>
      </c>
      <c r="F68" s="48">
        <v>44.42568</v>
      </c>
    </row>
    <row r="69" spans="2:6">
      <c r="B69" s="46" t="s">
        <v>100</v>
      </c>
      <c r="C69" s="46" t="s">
        <v>583</v>
      </c>
      <c r="D69" s="46">
        <v>12</v>
      </c>
      <c r="E69" s="48">
        <v>5</v>
      </c>
      <c r="F69" s="48">
        <v>12</v>
      </c>
    </row>
    <row r="70" spans="2:6">
      <c r="B70" s="46" t="s">
        <v>101</v>
      </c>
      <c r="C70" s="46" t="s">
        <v>584</v>
      </c>
      <c r="D70" s="46">
        <v>12</v>
      </c>
      <c r="E70" s="48">
        <v>5</v>
      </c>
      <c r="F70" s="48">
        <v>25.403475698517035</v>
      </c>
    </row>
    <row r="71" spans="2:6">
      <c r="B71" s="46" t="s">
        <v>102</v>
      </c>
      <c r="C71" s="46" t="s">
        <v>585</v>
      </c>
      <c r="D71" s="46">
        <v>12</v>
      </c>
      <c r="E71" s="48">
        <v>5</v>
      </c>
      <c r="F71" s="48">
        <v>5.3375058873689021</v>
      </c>
    </row>
    <row r="72" spans="2:6">
      <c r="B72" s="46" t="s">
        <v>103</v>
      </c>
      <c r="C72" s="46" t="s">
        <v>587</v>
      </c>
      <c r="D72" s="46">
        <v>12</v>
      </c>
      <c r="E72" s="48">
        <v>5</v>
      </c>
      <c r="F72" s="48">
        <v>4.9068176868413298</v>
      </c>
    </row>
    <row r="73" spans="2:6">
      <c r="B73" s="46" t="s">
        <v>104</v>
      </c>
      <c r="C73" s="46" t="s">
        <v>586</v>
      </c>
      <c r="D73" s="46">
        <v>13</v>
      </c>
      <c r="E73" s="48">
        <v>5</v>
      </c>
      <c r="F73" s="48">
        <v>44.42568</v>
      </c>
    </row>
    <row r="74" spans="2:6">
      <c r="B74" s="46" t="s">
        <v>105</v>
      </c>
      <c r="C74" s="46" t="s">
        <v>583</v>
      </c>
      <c r="D74" s="46">
        <v>13</v>
      </c>
      <c r="E74" s="48">
        <v>5</v>
      </c>
      <c r="F74" s="48">
        <v>0</v>
      </c>
    </row>
    <row r="75" spans="2:6">
      <c r="B75" s="46" t="s">
        <v>106</v>
      </c>
      <c r="C75" s="46" t="s">
        <v>584</v>
      </c>
      <c r="D75" s="46">
        <v>13</v>
      </c>
      <c r="E75" s="48">
        <v>5</v>
      </c>
      <c r="F75" s="48">
        <v>1.4889005915968949</v>
      </c>
    </row>
    <row r="76" spans="2:6">
      <c r="B76" s="46" t="s">
        <v>107</v>
      </c>
      <c r="C76" s="46" t="s">
        <v>585</v>
      </c>
      <c r="D76" s="46">
        <v>13</v>
      </c>
      <c r="E76" s="48">
        <v>5</v>
      </c>
      <c r="F76" s="48">
        <v>0</v>
      </c>
    </row>
    <row r="77" spans="2:6">
      <c r="B77" s="46" t="s">
        <v>108</v>
      </c>
      <c r="C77" s="46" t="s">
        <v>587</v>
      </c>
      <c r="D77" s="46">
        <v>13</v>
      </c>
      <c r="E77" s="48">
        <v>5</v>
      </c>
      <c r="F77" s="48">
        <v>8.5211879360963447</v>
      </c>
    </row>
    <row r="78" spans="2:6">
      <c r="B78" s="46" t="s">
        <v>109</v>
      </c>
      <c r="C78" s="46" t="s">
        <v>586</v>
      </c>
      <c r="D78" s="46">
        <v>14</v>
      </c>
      <c r="E78" s="48">
        <v>5</v>
      </c>
      <c r="F78" s="48">
        <v>44.42568</v>
      </c>
    </row>
    <row r="79" spans="2:6">
      <c r="B79" s="46" t="s">
        <v>110</v>
      </c>
      <c r="C79" s="46" t="s">
        <v>583</v>
      </c>
      <c r="D79" s="46">
        <v>14</v>
      </c>
      <c r="E79" s="48">
        <v>5</v>
      </c>
      <c r="F79" s="48">
        <v>12.000999999999999</v>
      </c>
    </row>
    <row r="80" spans="2:6">
      <c r="B80" s="46" t="s">
        <v>111</v>
      </c>
      <c r="C80" s="46" t="s">
        <v>584</v>
      </c>
      <c r="D80" s="46">
        <v>14</v>
      </c>
      <c r="E80" s="48">
        <v>5</v>
      </c>
      <c r="F80" s="48">
        <v>0.49709592983650763</v>
      </c>
    </row>
    <row r="81" spans="2:6">
      <c r="B81" s="46" t="s">
        <v>112</v>
      </c>
      <c r="C81" s="46" t="s">
        <v>585</v>
      </c>
      <c r="D81" s="46">
        <v>14</v>
      </c>
      <c r="E81" s="48">
        <v>5</v>
      </c>
      <c r="F81" s="48">
        <v>2.5456233829813724</v>
      </c>
    </row>
    <row r="82" spans="2:6">
      <c r="B82" s="46" t="s">
        <v>113</v>
      </c>
      <c r="C82" s="46" t="s">
        <v>587</v>
      </c>
      <c r="D82" s="46">
        <v>14</v>
      </c>
      <c r="E82" s="48">
        <v>5</v>
      </c>
      <c r="F82" s="48">
        <v>11.104892985265266</v>
      </c>
    </row>
    <row r="83" spans="2:6">
      <c r="B83" s="46" t="s">
        <v>114</v>
      </c>
      <c r="C83" s="46" t="s">
        <v>586</v>
      </c>
      <c r="D83" s="46">
        <v>15</v>
      </c>
      <c r="E83" s="48">
        <v>5</v>
      </c>
      <c r="F83" s="48">
        <v>44.42568</v>
      </c>
    </row>
    <row r="84" spans="2:6">
      <c r="B84" s="46" t="s">
        <v>115</v>
      </c>
      <c r="C84" s="46" t="s">
        <v>583</v>
      </c>
      <c r="D84" s="46">
        <v>15</v>
      </c>
      <c r="E84" s="48">
        <v>5</v>
      </c>
      <c r="F84" s="48">
        <v>11.999680722147493</v>
      </c>
    </row>
    <row r="85" spans="2:6">
      <c r="B85" s="46" t="s">
        <v>116</v>
      </c>
      <c r="C85" s="46" t="s">
        <v>584</v>
      </c>
      <c r="D85" s="46">
        <v>15</v>
      </c>
      <c r="E85" s="48">
        <v>5</v>
      </c>
      <c r="F85" s="48">
        <v>12.889183489981406</v>
      </c>
    </row>
    <row r="86" spans="2:6">
      <c r="B86" s="46" t="s">
        <v>117</v>
      </c>
      <c r="C86" s="46" t="s">
        <v>585</v>
      </c>
      <c r="D86" s="46">
        <v>15</v>
      </c>
      <c r="E86" s="48">
        <v>5</v>
      </c>
      <c r="F86" s="48">
        <v>5.337824985431296</v>
      </c>
    </row>
    <row r="87" spans="2:6">
      <c r="B87" s="46" t="s">
        <v>118</v>
      </c>
      <c r="C87" s="46" t="s">
        <v>587</v>
      </c>
      <c r="D87" s="46">
        <v>15</v>
      </c>
      <c r="E87" s="48">
        <v>5</v>
      </c>
      <c r="F87" s="48">
        <v>13.876031560507789</v>
      </c>
    </row>
    <row r="88" spans="2:6">
      <c r="B88" s="46" t="s">
        <v>119</v>
      </c>
      <c r="C88" s="46" t="s">
        <v>586</v>
      </c>
      <c r="D88" s="46">
        <v>16</v>
      </c>
      <c r="E88" s="48">
        <v>5</v>
      </c>
      <c r="F88" s="48">
        <v>44.42568</v>
      </c>
    </row>
    <row r="89" spans="2:6">
      <c r="B89" s="46" t="s">
        <v>120</v>
      </c>
      <c r="C89" s="46" t="s">
        <v>583</v>
      </c>
      <c r="D89" s="46">
        <v>16</v>
      </c>
      <c r="E89" s="48">
        <v>5</v>
      </c>
      <c r="F89" s="48">
        <v>12</v>
      </c>
    </row>
    <row r="90" spans="2:6">
      <c r="B90" s="46" t="s">
        <v>121</v>
      </c>
      <c r="C90" s="46" t="s">
        <v>584</v>
      </c>
      <c r="D90" s="46">
        <v>16</v>
      </c>
      <c r="E90" s="48">
        <v>5</v>
      </c>
      <c r="F90" s="48">
        <v>14.233739956668394</v>
      </c>
    </row>
    <row r="91" spans="2:6">
      <c r="B91" s="46" t="s">
        <v>122</v>
      </c>
      <c r="C91" s="46" t="s">
        <v>585</v>
      </c>
      <c r="D91" s="46">
        <v>16</v>
      </c>
      <c r="E91" s="48">
        <v>5</v>
      </c>
      <c r="F91" s="48">
        <v>5.3381455235013417</v>
      </c>
    </row>
    <row r="92" spans="2:6">
      <c r="B92" s="46" t="s">
        <v>123</v>
      </c>
      <c r="C92" s="46" t="s">
        <v>587</v>
      </c>
      <c r="D92" s="46">
        <v>16</v>
      </c>
      <c r="E92" s="48">
        <v>5</v>
      </c>
      <c r="F92" s="48">
        <v>13.875712350431852</v>
      </c>
    </row>
    <row r="93" spans="2:6">
      <c r="B93" s="46" t="s">
        <v>124</v>
      </c>
      <c r="C93" s="46" t="s">
        <v>586</v>
      </c>
      <c r="D93" s="46">
        <v>17</v>
      </c>
      <c r="E93" s="48">
        <v>5</v>
      </c>
      <c r="F93" s="48">
        <v>44.42568</v>
      </c>
    </row>
    <row r="94" spans="2:6">
      <c r="B94" s="46" t="s">
        <v>125</v>
      </c>
      <c r="C94" s="46" t="s">
        <v>583</v>
      </c>
      <c r="D94" s="46">
        <v>17</v>
      </c>
      <c r="E94" s="48">
        <v>5</v>
      </c>
      <c r="F94" s="48">
        <v>11.99904236977218</v>
      </c>
    </row>
    <row r="95" spans="2:6">
      <c r="B95" s="46" t="s">
        <v>126</v>
      </c>
      <c r="C95" s="46" t="s">
        <v>584</v>
      </c>
      <c r="D95" s="46">
        <v>17</v>
      </c>
      <c r="E95" s="48">
        <v>5</v>
      </c>
      <c r="F95" s="48">
        <v>16.434579273024656</v>
      </c>
    </row>
    <row r="96" spans="2:6">
      <c r="B96" s="46" t="s">
        <v>127</v>
      </c>
      <c r="C96" s="46" t="s">
        <v>585</v>
      </c>
      <c r="D96" s="46">
        <v>17</v>
      </c>
      <c r="E96" s="48">
        <v>5</v>
      </c>
      <c r="F96" s="48">
        <v>5.3384652754976205</v>
      </c>
    </row>
    <row r="97" spans="2:6">
      <c r="B97" s="46" t="s">
        <v>128</v>
      </c>
      <c r="C97" s="46" t="s">
        <v>587</v>
      </c>
      <c r="D97" s="46">
        <v>17</v>
      </c>
      <c r="E97" s="48">
        <v>5</v>
      </c>
      <c r="F97" s="48">
        <v>13.875712354432824</v>
      </c>
    </row>
    <row r="98" spans="2:6">
      <c r="B98" s="46" t="s">
        <v>129</v>
      </c>
      <c r="C98" s="46" t="s">
        <v>586</v>
      </c>
      <c r="D98" s="46">
        <v>18</v>
      </c>
      <c r="E98" s="48">
        <v>5</v>
      </c>
      <c r="F98" s="48">
        <v>44.42568</v>
      </c>
    </row>
    <row r="99" spans="2:6">
      <c r="B99" s="46" t="s">
        <v>130</v>
      </c>
      <c r="C99" s="46" t="s">
        <v>583</v>
      </c>
      <c r="D99" s="46">
        <v>18</v>
      </c>
      <c r="E99" s="48">
        <v>5</v>
      </c>
      <c r="F99" s="48">
        <v>12</v>
      </c>
    </row>
    <row r="100" spans="2:6">
      <c r="B100" s="46" t="s">
        <v>131</v>
      </c>
      <c r="C100" s="46" t="s">
        <v>584</v>
      </c>
      <c r="D100" s="46">
        <v>18</v>
      </c>
      <c r="E100" s="48">
        <v>5</v>
      </c>
      <c r="F100" s="48">
        <v>16.432983259359865</v>
      </c>
    </row>
    <row r="101" spans="2:6">
      <c r="B101" s="46" t="s">
        <v>132</v>
      </c>
      <c r="C101" s="46" t="s">
        <v>585</v>
      </c>
      <c r="D101" s="46">
        <v>18</v>
      </c>
      <c r="E101" s="48">
        <v>5</v>
      </c>
      <c r="F101" s="48">
        <v>5.3384652033091893</v>
      </c>
    </row>
    <row r="102" spans="2:6">
      <c r="B102" s="46" t="s">
        <v>133</v>
      </c>
      <c r="C102" s="46" t="s">
        <v>587</v>
      </c>
      <c r="D102" s="46">
        <v>18</v>
      </c>
      <c r="E102" s="48">
        <v>5</v>
      </c>
      <c r="F102" s="48">
        <v>13.876350810058225</v>
      </c>
    </row>
    <row r="103" spans="2:6">
      <c r="B103" s="46" t="s">
        <v>134</v>
      </c>
      <c r="C103" s="46" t="s">
        <v>586</v>
      </c>
      <c r="D103" s="46">
        <v>19</v>
      </c>
      <c r="E103" s="48">
        <v>5</v>
      </c>
      <c r="F103" s="48">
        <v>44.42568</v>
      </c>
    </row>
    <row r="104" spans="2:6">
      <c r="B104" s="46" t="s">
        <v>135</v>
      </c>
      <c r="C104" s="46" t="s">
        <v>583</v>
      </c>
      <c r="D104" s="46">
        <v>19</v>
      </c>
      <c r="E104" s="48">
        <v>5</v>
      </c>
      <c r="F104" s="48">
        <v>11.999361512071546</v>
      </c>
    </row>
    <row r="105" spans="2:6">
      <c r="B105" s="46" t="s">
        <v>136</v>
      </c>
      <c r="C105" s="46" t="s">
        <v>584</v>
      </c>
      <c r="D105" s="46">
        <v>19</v>
      </c>
      <c r="E105" s="48">
        <v>5</v>
      </c>
      <c r="F105" s="48">
        <v>16.434579460561849</v>
      </c>
    </row>
    <row r="106" spans="2:6">
      <c r="B106" s="46" t="s">
        <v>137</v>
      </c>
      <c r="C106" s="46" t="s">
        <v>585</v>
      </c>
      <c r="D106" s="46">
        <v>19</v>
      </c>
      <c r="E106" s="48">
        <v>5</v>
      </c>
      <c r="F106" s="48">
        <v>5.3378267396100263</v>
      </c>
    </row>
    <row r="107" spans="2:6">
      <c r="B107" s="46" t="s">
        <v>138</v>
      </c>
      <c r="C107" s="46" t="s">
        <v>587</v>
      </c>
      <c r="D107" s="46">
        <v>19</v>
      </c>
      <c r="E107" s="48">
        <v>5</v>
      </c>
      <c r="F107" s="48">
        <v>13.876031560483856</v>
      </c>
    </row>
    <row r="108" spans="2:6">
      <c r="B108" s="46" t="s">
        <v>139</v>
      </c>
      <c r="C108" s="46" t="s">
        <v>586</v>
      </c>
      <c r="D108" s="46">
        <v>20</v>
      </c>
      <c r="E108" s="48">
        <v>5</v>
      </c>
      <c r="F108" s="48">
        <v>44.42568</v>
      </c>
    </row>
    <row r="109" spans="2:6">
      <c r="B109" s="46" t="s">
        <v>140</v>
      </c>
      <c r="C109" s="46" t="s">
        <v>583</v>
      </c>
      <c r="D109" s="46">
        <v>20</v>
      </c>
      <c r="E109" s="48">
        <v>5</v>
      </c>
      <c r="F109" s="48">
        <v>12</v>
      </c>
    </row>
    <row r="110" spans="2:6">
      <c r="B110" s="46" t="s">
        <v>141</v>
      </c>
      <c r="C110" s="46" t="s">
        <v>584</v>
      </c>
      <c r="D110" s="46">
        <v>20</v>
      </c>
      <c r="E110" s="48">
        <v>5</v>
      </c>
      <c r="F110" s="48">
        <v>8.2834839850973498</v>
      </c>
    </row>
    <row r="111" spans="2:6">
      <c r="B111" s="46" t="s">
        <v>142</v>
      </c>
      <c r="C111" s="46" t="s">
        <v>585</v>
      </c>
      <c r="D111" s="46">
        <v>20</v>
      </c>
      <c r="E111" s="48">
        <v>5</v>
      </c>
      <c r="F111" s="48">
        <v>5.2092048566069726</v>
      </c>
    </row>
    <row r="112" spans="2:6">
      <c r="B112" s="46" t="s">
        <v>143</v>
      </c>
      <c r="C112" s="46" t="s">
        <v>587</v>
      </c>
      <c r="D112" s="46">
        <v>20</v>
      </c>
      <c r="E112" s="48">
        <v>5</v>
      </c>
      <c r="F112" s="48">
        <v>13.768474455242643</v>
      </c>
    </row>
    <row r="113" spans="2:6">
      <c r="B113" s="46" t="s">
        <v>144</v>
      </c>
      <c r="C113" s="46" t="s">
        <v>586</v>
      </c>
      <c r="D113" s="46">
        <v>21</v>
      </c>
      <c r="E113" s="48">
        <v>5</v>
      </c>
      <c r="F113" s="48">
        <v>44.42568</v>
      </c>
    </row>
    <row r="114" spans="2:6">
      <c r="B114" s="46" t="s">
        <v>145</v>
      </c>
      <c r="C114" s="46" t="s">
        <v>583</v>
      </c>
      <c r="D114" s="46">
        <v>21</v>
      </c>
      <c r="E114" s="48">
        <v>5</v>
      </c>
      <c r="F114" s="48">
        <v>12.000999999999999</v>
      </c>
    </row>
    <row r="115" spans="2:6">
      <c r="B115" s="46" t="s">
        <v>146</v>
      </c>
      <c r="C115" s="46" t="s">
        <v>584</v>
      </c>
      <c r="D115" s="46">
        <v>21</v>
      </c>
      <c r="E115" s="48">
        <v>5</v>
      </c>
      <c r="F115" s="48">
        <v>5.3717063530817359</v>
      </c>
    </row>
    <row r="116" spans="2:6">
      <c r="B116" s="46" t="s">
        <v>147</v>
      </c>
      <c r="C116" s="46" t="s">
        <v>585</v>
      </c>
      <c r="D116" s="46">
        <v>21</v>
      </c>
      <c r="E116" s="48">
        <v>5</v>
      </c>
      <c r="F116" s="48">
        <v>5.3197169434590874</v>
      </c>
    </row>
    <row r="117" spans="2:6">
      <c r="B117" s="46" t="s">
        <v>148</v>
      </c>
      <c r="C117" s="46" t="s">
        <v>587</v>
      </c>
      <c r="D117" s="46">
        <v>21</v>
      </c>
      <c r="E117" s="48">
        <v>5</v>
      </c>
      <c r="F117" s="48">
        <v>13.878985855338913</v>
      </c>
    </row>
    <row r="118" spans="2:6">
      <c r="B118" s="46" t="s">
        <v>149</v>
      </c>
      <c r="C118" s="46" t="s">
        <v>586</v>
      </c>
      <c r="D118" s="46">
        <v>22</v>
      </c>
      <c r="E118" s="48">
        <v>5</v>
      </c>
      <c r="F118" s="48">
        <v>44.42568</v>
      </c>
    </row>
    <row r="119" spans="2:6">
      <c r="B119" s="46" t="s">
        <v>150</v>
      </c>
      <c r="C119" s="46" t="s">
        <v>583</v>
      </c>
      <c r="D119" s="46">
        <v>22</v>
      </c>
      <c r="E119" s="48">
        <v>5</v>
      </c>
      <c r="F119" s="48">
        <v>11.999680722147493</v>
      </c>
    </row>
    <row r="120" spans="2:6">
      <c r="B120" s="46" t="s">
        <v>151</v>
      </c>
      <c r="C120" s="46" t="s">
        <v>584</v>
      </c>
      <c r="D120" s="46">
        <v>22</v>
      </c>
      <c r="E120" s="48">
        <v>5</v>
      </c>
      <c r="F120" s="48">
        <v>10.737378411699085</v>
      </c>
    </row>
    <row r="121" spans="2:6">
      <c r="B121" s="46" t="s">
        <v>152</v>
      </c>
      <c r="C121" s="46" t="s">
        <v>585</v>
      </c>
      <c r="D121" s="46">
        <v>22</v>
      </c>
      <c r="E121" s="48">
        <v>5</v>
      </c>
      <c r="F121" s="48">
        <v>5.3378267436588667</v>
      </c>
    </row>
    <row r="122" spans="2:6">
      <c r="B122" s="46" t="s">
        <v>153</v>
      </c>
      <c r="C122" s="46" t="s">
        <v>587</v>
      </c>
      <c r="D122" s="46">
        <v>22</v>
      </c>
      <c r="E122" s="48">
        <v>5</v>
      </c>
      <c r="F122" s="48">
        <v>13.876031564508748</v>
      </c>
    </row>
    <row r="123" spans="2:6">
      <c r="B123" s="46" t="s">
        <v>154</v>
      </c>
      <c r="C123" s="46" t="s">
        <v>586</v>
      </c>
      <c r="D123" s="46">
        <v>23</v>
      </c>
      <c r="E123" s="48">
        <v>5</v>
      </c>
      <c r="F123" s="48">
        <v>44.42568</v>
      </c>
    </row>
    <row r="124" spans="2:6">
      <c r="B124" s="46" t="s">
        <v>155</v>
      </c>
      <c r="C124" s="46" t="s">
        <v>583</v>
      </c>
      <c r="D124" s="46">
        <v>23</v>
      </c>
      <c r="E124" s="48">
        <v>5</v>
      </c>
      <c r="F124" s="48">
        <v>11.999680789924064</v>
      </c>
    </row>
    <row r="125" spans="2:6">
      <c r="B125" s="46" t="s">
        <v>156</v>
      </c>
      <c r="C125" s="46" t="s">
        <v>584</v>
      </c>
      <c r="D125" s="46">
        <v>23</v>
      </c>
      <c r="E125" s="48">
        <v>5</v>
      </c>
      <c r="F125" s="48">
        <v>11.879568393210825</v>
      </c>
    </row>
    <row r="126" spans="2:6">
      <c r="B126" s="46" t="s">
        <v>157</v>
      </c>
      <c r="C126" s="46" t="s">
        <v>585</v>
      </c>
      <c r="D126" s="46">
        <v>23</v>
      </c>
      <c r="E126" s="48">
        <v>5</v>
      </c>
      <c r="F126" s="48">
        <v>5.3384644087311601</v>
      </c>
    </row>
    <row r="127" spans="2:6">
      <c r="B127" s="46" t="s">
        <v>158</v>
      </c>
      <c r="C127" s="46" t="s">
        <v>587</v>
      </c>
      <c r="D127" s="46">
        <v>23</v>
      </c>
      <c r="E127" s="48">
        <v>5</v>
      </c>
      <c r="F127" s="48">
        <v>13.876350774584695</v>
      </c>
    </row>
    <row r="128" spans="2:6">
      <c r="B128" s="46" t="s">
        <v>159</v>
      </c>
      <c r="C128" s="46" t="s">
        <v>586</v>
      </c>
      <c r="D128" s="46">
        <v>24</v>
      </c>
      <c r="E128" s="48">
        <v>5</v>
      </c>
      <c r="F128" s="48">
        <v>44.425679999999993</v>
      </c>
    </row>
    <row r="129" spans="2:6">
      <c r="B129" s="46" t="s">
        <v>160</v>
      </c>
      <c r="C129" s="46" t="s">
        <v>583</v>
      </c>
      <c r="D129" s="46">
        <v>24</v>
      </c>
      <c r="E129" s="48">
        <v>5</v>
      </c>
      <c r="F129" s="48">
        <v>11.999361512071543</v>
      </c>
    </row>
    <row r="130" spans="2:6">
      <c r="B130" s="46" t="s">
        <v>161</v>
      </c>
      <c r="C130" s="46" t="s">
        <v>584</v>
      </c>
      <c r="D130" s="46">
        <v>24</v>
      </c>
      <c r="E130" s="48">
        <v>5</v>
      </c>
      <c r="F130" s="48">
        <v>16.433941848291415</v>
      </c>
    </row>
    <row r="131" spans="2:6">
      <c r="B131" s="46" t="s">
        <v>162</v>
      </c>
      <c r="C131" s="46" t="s">
        <v>585</v>
      </c>
      <c r="D131" s="46">
        <v>24</v>
      </c>
      <c r="E131" s="48">
        <v>5</v>
      </c>
      <c r="F131" s="48">
        <v>5.338145141804528</v>
      </c>
    </row>
    <row r="132" spans="2:6">
      <c r="B132" s="46" t="s">
        <v>163</v>
      </c>
      <c r="C132" s="46" t="s">
        <v>587</v>
      </c>
      <c r="D132" s="46">
        <v>24</v>
      </c>
      <c r="E132" s="48">
        <v>5</v>
      </c>
      <c r="F132" s="48">
        <v>13.876350770559794</v>
      </c>
    </row>
    <row r="133" spans="2:6">
      <c r="B133" s="46" t="s">
        <v>164</v>
      </c>
      <c r="C133" s="46" t="s">
        <v>586</v>
      </c>
      <c r="D133" s="46">
        <v>25</v>
      </c>
      <c r="E133" s="48">
        <v>5</v>
      </c>
      <c r="F133" s="48">
        <v>44.425679999999964</v>
      </c>
    </row>
    <row r="134" spans="2:6">
      <c r="B134" s="46" t="s">
        <v>165</v>
      </c>
      <c r="C134" s="46" t="s">
        <v>583</v>
      </c>
      <c r="D134" s="46">
        <v>25</v>
      </c>
      <c r="E134" s="48">
        <v>5</v>
      </c>
      <c r="F134" s="48">
        <v>11.99904236977218</v>
      </c>
    </row>
    <row r="135" spans="2:6">
      <c r="B135" s="46" t="s">
        <v>166</v>
      </c>
      <c r="C135" s="46" t="s">
        <v>584</v>
      </c>
      <c r="D135" s="46">
        <v>25</v>
      </c>
      <c r="E135" s="48">
        <v>5</v>
      </c>
      <c r="F135" s="48">
        <v>16.43458046237367</v>
      </c>
    </row>
    <row r="136" spans="2:6">
      <c r="B136" s="46" t="s">
        <v>167</v>
      </c>
      <c r="C136" s="46" t="s">
        <v>585</v>
      </c>
      <c r="D136" s="46">
        <v>25</v>
      </c>
      <c r="E136" s="48">
        <v>5</v>
      </c>
      <c r="F136" s="48">
        <v>5.3384640223969422</v>
      </c>
    </row>
    <row r="137" spans="2:6">
      <c r="B137" s="46" t="s">
        <v>168</v>
      </c>
      <c r="C137" s="46" t="s">
        <v>587</v>
      </c>
      <c r="D137" s="46">
        <v>25</v>
      </c>
      <c r="E137" s="48">
        <v>5</v>
      </c>
      <c r="F137" s="48">
        <v>13.875712418184484</v>
      </c>
    </row>
    <row r="138" spans="2:6">
      <c r="B138" s="46" t="s">
        <v>169</v>
      </c>
      <c r="C138" s="46" t="s">
        <v>586</v>
      </c>
      <c r="D138" s="46">
        <v>26</v>
      </c>
      <c r="E138" s="48">
        <v>5</v>
      </c>
      <c r="F138" s="48">
        <v>44.425679999999964</v>
      </c>
    </row>
    <row r="139" spans="2:6">
      <c r="B139" s="46" t="s">
        <v>170</v>
      </c>
      <c r="C139" s="46" t="s">
        <v>583</v>
      </c>
      <c r="D139" s="46">
        <v>26</v>
      </c>
      <c r="E139" s="48">
        <v>5</v>
      </c>
      <c r="F139" s="48">
        <v>11.999680722147492</v>
      </c>
    </row>
    <row r="140" spans="2:6">
      <c r="B140" s="46" t="s">
        <v>171</v>
      </c>
      <c r="C140" s="46" t="s">
        <v>584</v>
      </c>
      <c r="D140" s="46">
        <v>26</v>
      </c>
      <c r="E140" s="48">
        <v>5</v>
      </c>
      <c r="F140" s="48">
        <v>16.434261655697512</v>
      </c>
    </row>
    <row r="141" spans="2:6">
      <c r="B141" s="46" t="s">
        <v>172</v>
      </c>
      <c r="C141" s="46" t="s">
        <v>585</v>
      </c>
      <c r="D141" s="46">
        <v>26</v>
      </c>
      <c r="E141" s="48">
        <v>5</v>
      </c>
      <c r="F141" s="48">
        <v>5.3381442701782236</v>
      </c>
    </row>
    <row r="142" spans="2:6">
      <c r="B142" s="46" t="s">
        <v>173</v>
      </c>
      <c r="C142" s="46" t="s">
        <v>587</v>
      </c>
      <c r="D142" s="46">
        <v>26</v>
      </c>
      <c r="E142" s="48">
        <v>5</v>
      </c>
      <c r="F142" s="48">
        <v>13.875712624704056</v>
      </c>
    </row>
    <row r="143" spans="2:6">
      <c r="B143" s="46" t="s">
        <v>174</v>
      </c>
      <c r="C143" s="46" t="s">
        <v>586</v>
      </c>
      <c r="D143" s="46">
        <v>27</v>
      </c>
      <c r="E143" s="48">
        <v>5</v>
      </c>
      <c r="F143" s="48">
        <v>44.425679999999971</v>
      </c>
    </row>
    <row r="144" spans="2:6">
      <c r="B144" s="46" t="s">
        <v>175</v>
      </c>
      <c r="C144" s="46" t="s">
        <v>583</v>
      </c>
      <c r="D144" s="46">
        <v>27</v>
      </c>
      <c r="E144" s="48">
        <v>5</v>
      </c>
      <c r="F144" s="48">
        <v>12</v>
      </c>
    </row>
    <row r="145" spans="2:6">
      <c r="B145" s="46" t="s">
        <v>176</v>
      </c>
      <c r="C145" s="46" t="s">
        <v>584</v>
      </c>
      <c r="D145" s="46">
        <v>27</v>
      </c>
      <c r="E145" s="48">
        <v>5</v>
      </c>
      <c r="F145" s="48">
        <v>16.394234460503156</v>
      </c>
    </row>
    <row r="146" spans="2:6">
      <c r="B146" s="46" t="s">
        <v>177</v>
      </c>
      <c r="C146" s="46" t="s">
        <v>585</v>
      </c>
      <c r="D146" s="46">
        <v>27</v>
      </c>
      <c r="E146" s="48">
        <v>5</v>
      </c>
      <c r="F146" s="48">
        <v>5.3378263351723403</v>
      </c>
    </row>
    <row r="147" spans="2:6">
      <c r="B147" s="46" t="s">
        <v>178</v>
      </c>
      <c r="C147" s="46" t="s">
        <v>587</v>
      </c>
      <c r="D147" s="46">
        <v>27</v>
      </c>
      <c r="E147" s="48">
        <v>5</v>
      </c>
      <c r="F147" s="48">
        <v>13.915738477051773</v>
      </c>
    </row>
    <row r="148" spans="2:6">
      <c r="B148" s="46" t="s">
        <v>179</v>
      </c>
      <c r="C148" s="46" t="s">
        <v>586</v>
      </c>
      <c r="D148" s="46">
        <v>28</v>
      </c>
      <c r="E148" s="48">
        <v>5</v>
      </c>
      <c r="F148" s="48">
        <v>9.2553499999999982</v>
      </c>
    </row>
    <row r="149" spans="2:6">
      <c r="B149" s="46" t="s">
        <v>180</v>
      </c>
      <c r="C149" s="46" t="s">
        <v>583</v>
      </c>
      <c r="D149" s="46">
        <v>28</v>
      </c>
      <c r="E149" s="48">
        <v>5</v>
      </c>
      <c r="F149" s="48">
        <v>12</v>
      </c>
    </row>
    <row r="150" spans="2:6">
      <c r="B150" s="46" t="s">
        <v>181</v>
      </c>
      <c r="C150" s="46" t="s">
        <v>584</v>
      </c>
      <c r="D150" s="46">
        <v>28</v>
      </c>
      <c r="E150" s="48">
        <v>5</v>
      </c>
      <c r="F150" s="48">
        <v>5.2953634051258112</v>
      </c>
    </row>
    <row r="151" spans="2:6">
      <c r="B151" s="46" t="s">
        <v>182</v>
      </c>
      <c r="C151" s="46" t="s">
        <v>585</v>
      </c>
      <c r="D151" s="46">
        <v>28</v>
      </c>
      <c r="E151" s="48">
        <v>5</v>
      </c>
      <c r="F151" s="48">
        <v>1.4018511456785074</v>
      </c>
    </row>
    <row r="152" spans="2:6">
      <c r="B152" s="46" t="s">
        <v>183</v>
      </c>
      <c r="C152" s="46" t="s">
        <v>587</v>
      </c>
      <c r="D152" s="46">
        <v>28</v>
      </c>
      <c r="E152" s="48">
        <v>5</v>
      </c>
      <c r="F152" s="48">
        <v>7.7052780414883753</v>
      </c>
    </row>
    <row r="153" spans="2:6">
      <c r="B153" s="46" t="s">
        <v>184</v>
      </c>
      <c r="C153" s="46" t="s">
        <v>586</v>
      </c>
      <c r="D153" s="46">
        <v>29</v>
      </c>
      <c r="E153" s="48">
        <v>5</v>
      </c>
      <c r="F153" s="48">
        <v>11.10642</v>
      </c>
    </row>
    <row r="154" spans="2:6">
      <c r="B154" s="46" t="s">
        <v>185</v>
      </c>
      <c r="C154" s="46" t="s">
        <v>583</v>
      </c>
      <c r="D154" s="46">
        <v>29</v>
      </c>
      <c r="E154" s="48">
        <v>5</v>
      </c>
      <c r="F154" s="48">
        <v>12.000999999999999</v>
      </c>
    </row>
    <row r="155" spans="2:6">
      <c r="B155" s="46" t="s">
        <v>186</v>
      </c>
      <c r="C155" s="46" t="s">
        <v>584</v>
      </c>
      <c r="D155" s="46">
        <v>29</v>
      </c>
      <c r="E155" s="48">
        <v>5</v>
      </c>
      <c r="F155" s="48">
        <v>13.332675423934678</v>
      </c>
    </row>
    <row r="156" spans="2:6">
      <c r="B156" s="46" t="s">
        <v>187</v>
      </c>
      <c r="C156" s="46" t="s">
        <v>585</v>
      </c>
      <c r="D156" s="46">
        <v>29</v>
      </c>
      <c r="E156" s="48">
        <v>5</v>
      </c>
      <c r="F156" s="48">
        <v>3.8978056672180124</v>
      </c>
    </row>
    <row r="157" spans="2:6">
      <c r="B157" s="46" t="s">
        <v>188</v>
      </c>
      <c r="C157" s="46" t="s">
        <v>587</v>
      </c>
      <c r="D157" s="46">
        <v>29</v>
      </c>
      <c r="E157" s="48">
        <v>5</v>
      </c>
      <c r="F157" s="48">
        <v>12.457394977250052</v>
      </c>
    </row>
    <row r="158" spans="2:6">
      <c r="B158" s="46" t="s">
        <v>189</v>
      </c>
      <c r="C158" s="46" t="s">
        <v>586</v>
      </c>
      <c r="D158" s="46">
        <v>30</v>
      </c>
      <c r="E158" s="48">
        <v>5</v>
      </c>
      <c r="F158" s="48">
        <v>44.42568</v>
      </c>
    </row>
    <row r="159" spans="2:6">
      <c r="B159" s="46" t="s">
        <v>190</v>
      </c>
      <c r="C159" s="46" t="s">
        <v>583</v>
      </c>
      <c r="D159" s="46">
        <v>30</v>
      </c>
      <c r="E159" s="48">
        <v>5</v>
      </c>
      <c r="F159" s="48">
        <v>12</v>
      </c>
    </row>
    <row r="160" spans="2:6">
      <c r="B160" s="46" t="s">
        <v>191</v>
      </c>
      <c r="C160" s="46" t="s">
        <v>584</v>
      </c>
      <c r="D160" s="46">
        <v>30</v>
      </c>
      <c r="E160" s="48">
        <v>5</v>
      </c>
      <c r="F160" s="48">
        <v>14.638161037317323</v>
      </c>
    </row>
    <row r="161" spans="2:6">
      <c r="B161" s="46" t="s">
        <v>192</v>
      </c>
      <c r="C161" s="46" t="s">
        <v>585</v>
      </c>
      <c r="D161" s="46">
        <v>30</v>
      </c>
      <c r="E161" s="48">
        <v>5</v>
      </c>
      <c r="F161" s="48">
        <v>5.337506677910576</v>
      </c>
    </row>
    <row r="162" spans="2:6">
      <c r="B162" s="46" t="s">
        <v>193</v>
      </c>
      <c r="C162" s="46" t="s">
        <v>587</v>
      </c>
      <c r="D162" s="46">
        <v>30</v>
      </c>
      <c r="E162" s="48">
        <v>5</v>
      </c>
      <c r="F162" s="48">
        <v>13.875393237133791</v>
      </c>
    </row>
    <row r="163" spans="2:6">
      <c r="B163" s="46" t="s">
        <v>194</v>
      </c>
      <c r="C163" s="46" t="s">
        <v>586</v>
      </c>
      <c r="D163" s="46">
        <v>31</v>
      </c>
      <c r="E163" s="48">
        <v>5</v>
      </c>
      <c r="F163" s="48">
        <v>44.42568</v>
      </c>
    </row>
    <row r="164" spans="2:6">
      <c r="B164" s="46" t="s">
        <v>195</v>
      </c>
      <c r="C164" s="46" t="s">
        <v>583</v>
      </c>
      <c r="D164" s="46">
        <v>31</v>
      </c>
      <c r="E164" s="48">
        <v>5</v>
      </c>
      <c r="F164" s="48">
        <v>12</v>
      </c>
    </row>
    <row r="165" spans="2:6">
      <c r="B165" s="46" t="s">
        <v>196</v>
      </c>
      <c r="C165" s="46" t="s">
        <v>584</v>
      </c>
      <c r="D165" s="46">
        <v>31</v>
      </c>
      <c r="E165" s="48">
        <v>5</v>
      </c>
      <c r="F165" s="48">
        <v>16.434899424082076</v>
      </c>
    </row>
    <row r="166" spans="2:6">
      <c r="B166" s="46" t="s">
        <v>197</v>
      </c>
      <c r="C166" s="46" t="s">
        <v>585</v>
      </c>
      <c r="D166" s="46">
        <v>31</v>
      </c>
      <c r="E166" s="48">
        <v>5</v>
      </c>
      <c r="F166" s="48">
        <v>5.3375066857308218</v>
      </c>
    </row>
    <row r="167" spans="2:6">
      <c r="B167" s="46" t="s">
        <v>198</v>
      </c>
      <c r="C167" s="46" t="s">
        <v>587</v>
      </c>
      <c r="D167" s="46">
        <v>31</v>
      </c>
      <c r="E167" s="48">
        <v>5</v>
      </c>
      <c r="F167" s="48">
        <v>13.875393162914383</v>
      </c>
    </row>
    <row r="168" spans="2:6">
      <c r="B168" s="46" t="s">
        <v>199</v>
      </c>
      <c r="C168" s="46" t="s">
        <v>20</v>
      </c>
      <c r="D168" s="46">
        <v>1</v>
      </c>
      <c r="E168" s="49">
        <v>0</v>
      </c>
      <c r="F168" s="49">
        <v>0.16157455411571439</v>
      </c>
    </row>
    <row r="169" spans="2:6">
      <c r="B169" s="46" t="s">
        <v>200</v>
      </c>
      <c r="C169" s="46" t="s">
        <v>20</v>
      </c>
      <c r="D169" s="46">
        <v>2</v>
      </c>
      <c r="E169" s="49">
        <v>0</v>
      </c>
      <c r="F169" s="49">
        <v>0.16157455411571442</v>
      </c>
    </row>
    <row r="170" spans="2:6">
      <c r="B170" s="46" t="s">
        <v>201</v>
      </c>
      <c r="C170" s="46" t="s">
        <v>20</v>
      </c>
      <c r="D170" s="46">
        <v>3</v>
      </c>
      <c r="E170" s="49">
        <v>0</v>
      </c>
      <c r="F170" s="49">
        <v>0.16157455411571439</v>
      </c>
    </row>
    <row r="171" spans="2:6">
      <c r="B171" s="46" t="s">
        <v>203</v>
      </c>
      <c r="C171" s="46" t="s">
        <v>20</v>
      </c>
      <c r="D171" s="46">
        <v>4</v>
      </c>
      <c r="E171" s="49">
        <v>0</v>
      </c>
      <c r="F171" s="49">
        <v>0.16157455411571439</v>
      </c>
    </row>
    <row r="172" spans="2:6">
      <c r="B172" s="46" t="s">
        <v>205</v>
      </c>
      <c r="C172" s="46" t="s">
        <v>20</v>
      </c>
      <c r="D172" s="46">
        <v>5</v>
      </c>
      <c r="E172" s="49">
        <v>0</v>
      </c>
      <c r="F172" s="49">
        <v>0.16157455411571439</v>
      </c>
    </row>
    <row r="173" spans="2:6">
      <c r="B173" s="46" t="s">
        <v>207</v>
      </c>
      <c r="C173" s="46" t="s">
        <v>20</v>
      </c>
      <c r="D173" s="46">
        <v>6</v>
      </c>
      <c r="E173" s="49">
        <v>0</v>
      </c>
      <c r="F173" s="49">
        <v>0.16157455411571442</v>
      </c>
    </row>
    <row r="174" spans="2:6">
      <c r="B174" s="46" t="s">
        <v>208</v>
      </c>
      <c r="C174" s="46" t="s">
        <v>20</v>
      </c>
      <c r="D174" s="46">
        <v>7</v>
      </c>
      <c r="E174" s="49">
        <v>0</v>
      </c>
      <c r="F174" s="49">
        <v>0.17</v>
      </c>
    </row>
    <row r="175" spans="2:6">
      <c r="B175" s="46" t="s">
        <v>210</v>
      </c>
      <c r="C175" s="46" t="s">
        <v>20</v>
      </c>
      <c r="D175" s="46">
        <v>8</v>
      </c>
      <c r="E175" s="49">
        <v>0</v>
      </c>
      <c r="F175" s="49">
        <v>0.17</v>
      </c>
    </row>
    <row r="176" spans="2:6">
      <c r="B176" s="46" t="s">
        <v>211</v>
      </c>
      <c r="C176" s="46" t="s">
        <v>20</v>
      </c>
      <c r="D176" s="46">
        <v>9</v>
      </c>
      <c r="E176" s="49">
        <v>0</v>
      </c>
      <c r="F176" s="49">
        <v>0.17</v>
      </c>
    </row>
    <row r="177" spans="2:6">
      <c r="B177" s="46" t="s">
        <v>212</v>
      </c>
      <c r="C177" s="46" t="s">
        <v>20</v>
      </c>
      <c r="D177" s="46">
        <v>10</v>
      </c>
      <c r="E177" s="49">
        <v>0</v>
      </c>
      <c r="F177" s="49">
        <v>0.17</v>
      </c>
    </row>
    <row r="178" spans="2:6">
      <c r="B178" s="46" t="s">
        <v>213</v>
      </c>
      <c r="C178" s="46" t="s">
        <v>20</v>
      </c>
      <c r="D178" s="46">
        <v>11</v>
      </c>
      <c r="E178" s="49">
        <v>0</v>
      </c>
      <c r="F178" s="49">
        <v>0.16157455411571442</v>
      </c>
    </row>
    <row r="179" spans="2:6">
      <c r="B179" s="46" t="s">
        <v>214</v>
      </c>
      <c r="C179" s="46" t="s">
        <v>20</v>
      </c>
      <c r="D179" s="46">
        <v>12</v>
      </c>
      <c r="E179" s="49">
        <v>0</v>
      </c>
      <c r="F179" s="49">
        <v>0.16157455411571439</v>
      </c>
    </row>
    <row r="180" spans="2:6">
      <c r="B180" s="46" t="s">
        <v>215</v>
      </c>
      <c r="C180" s="46" t="s">
        <v>20</v>
      </c>
      <c r="D180" s="46">
        <v>13</v>
      </c>
      <c r="E180" s="49">
        <v>0</v>
      </c>
      <c r="F180" s="49">
        <v>0.17</v>
      </c>
    </row>
    <row r="181" spans="2:6">
      <c r="B181" s="46" t="s">
        <v>216</v>
      </c>
      <c r="C181" s="46" t="s">
        <v>20</v>
      </c>
      <c r="D181" s="46">
        <v>14</v>
      </c>
      <c r="E181" s="49">
        <v>0</v>
      </c>
      <c r="F181" s="49">
        <v>0.17</v>
      </c>
    </row>
    <row r="182" spans="2:6">
      <c r="B182" s="46" t="s">
        <v>217</v>
      </c>
      <c r="C182" s="46" t="s">
        <v>20</v>
      </c>
      <c r="D182" s="46">
        <v>15</v>
      </c>
      <c r="E182" s="49">
        <v>0</v>
      </c>
      <c r="F182" s="49">
        <v>0.17</v>
      </c>
    </row>
    <row r="183" spans="2:6">
      <c r="B183" s="46" t="s">
        <v>218</v>
      </c>
      <c r="C183" s="46" t="s">
        <v>20</v>
      </c>
      <c r="D183" s="46">
        <v>16</v>
      </c>
      <c r="E183" s="49">
        <v>0</v>
      </c>
      <c r="F183" s="49">
        <v>0.17</v>
      </c>
    </row>
    <row r="184" spans="2:6">
      <c r="B184" s="46" t="s">
        <v>219</v>
      </c>
      <c r="C184" s="46" t="s">
        <v>20</v>
      </c>
      <c r="D184" s="46">
        <v>17</v>
      </c>
      <c r="E184" s="49">
        <v>0</v>
      </c>
      <c r="F184" s="49">
        <v>0.16157455411571445</v>
      </c>
    </row>
    <row r="185" spans="2:6">
      <c r="B185" s="46" t="s">
        <v>220</v>
      </c>
      <c r="C185" s="46" t="s">
        <v>20</v>
      </c>
      <c r="D185" s="46">
        <v>18</v>
      </c>
      <c r="E185" s="49">
        <v>0</v>
      </c>
      <c r="F185" s="49">
        <v>0.16157455411571642</v>
      </c>
    </row>
    <row r="186" spans="2:6">
      <c r="B186" s="46" t="s">
        <v>221</v>
      </c>
      <c r="C186" s="46" t="s">
        <v>20</v>
      </c>
      <c r="D186" s="46">
        <v>19</v>
      </c>
      <c r="E186" s="49">
        <v>0</v>
      </c>
      <c r="F186" s="49">
        <v>0.16157455411571164</v>
      </c>
    </row>
    <row r="187" spans="2:6">
      <c r="B187" s="46" t="s">
        <v>222</v>
      </c>
      <c r="C187" s="46" t="s">
        <v>20</v>
      </c>
      <c r="D187" s="46">
        <v>20</v>
      </c>
      <c r="E187" s="49">
        <v>0</v>
      </c>
      <c r="F187" s="49">
        <v>0.17</v>
      </c>
    </row>
    <row r="188" spans="2:6">
      <c r="B188" s="46" t="s">
        <v>223</v>
      </c>
      <c r="C188" s="46" t="s">
        <v>20</v>
      </c>
      <c r="D188" s="46">
        <v>21</v>
      </c>
      <c r="E188" s="49">
        <v>0</v>
      </c>
      <c r="F188" s="49">
        <v>0.17</v>
      </c>
    </row>
    <row r="189" spans="2:6">
      <c r="B189" s="46" t="s">
        <v>224</v>
      </c>
      <c r="C189" s="46" t="s">
        <v>20</v>
      </c>
      <c r="D189" s="46">
        <v>22</v>
      </c>
      <c r="E189" s="49">
        <v>0</v>
      </c>
      <c r="F189" s="49">
        <v>0.17</v>
      </c>
    </row>
    <row r="190" spans="2:6">
      <c r="B190" s="46" t="s">
        <v>225</v>
      </c>
      <c r="C190" s="46" t="s">
        <v>20</v>
      </c>
      <c r="D190" s="46">
        <v>23</v>
      </c>
      <c r="E190" s="49">
        <v>0</v>
      </c>
      <c r="F190" s="49">
        <v>0.17</v>
      </c>
    </row>
    <row r="191" spans="2:6">
      <c r="B191" s="46" t="s">
        <v>226</v>
      </c>
      <c r="C191" s="46" t="s">
        <v>20</v>
      </c>
      <c r="D191" s="46">
        <v>24</v>
      </c>
      <c r="E191" s="49">
        <v>0</v>
      </c>
      <c r="F191" s="49">
        <v>0.1591158284679598</v>
      </c>
    </row>
    <row r="192" spans="2:6">
      <c r="B192" s="46" t="s">
        <v>227</v>
      </c>
      <c r="C192" s="46" t="s">
        <v>20</v>
      </c>
      <c r="D192" s="46">
        <v>25</v>
      </c>
      <c r="E192" s="49">
        <v>0</v>
      </c>
      <c r="F192" s="49">
        <v>0.15911582846795971</v>
      </c>
    </row>
    <row r="193" spans="1:8">
      <c r="B193" s="46" t="s">
        <v>228</v>
      </c>
      <c r="C193" s="46" t="s">
        <v>20</v>
      </c>
      <c r="D193" s="46">
        <v>26</v>
      </c>
      <c r="E193" s="49">
        <v>0</v>
      </c>
      <c r="F193" s="49">
        <v>0.15911582846795982</v>
      </c>
    </row>
    <row r="194" spans="1:8">
      <c r="B194" s="46" t="s">
        <v>229</v>
      </c>
      <c r="C194" s="46" t="s">
        <v>20</v>
      </c>
      <c r="D194" s="46">
        <v>27</v>
      </c>
      <c r="E194" s="49">
        <v>0</v>
      </c>
      <c r="F194" s="49">
        <v>0.15911582846795963</v>
      </c>
    </row>
    <row r="195" spans="1:8">
      <c r="B195" s="46" t="s">
        <v>230</v>
      </c>
      <c r="C195" s="46" t="s">
        <v>20</v>
      </c>
      <c r="D195" s="46">
        <v>28</v>
      </c>
      <c r="E195" s="49">
        <v>0</v>
      </c>
      <c r="F195" s="49">
        <v>0.17</v>
      </c>
    </row>
    <row r="196" spans="1:8">
      <c r="B196" s="46" t="s">
        <v>231</v>
      </c>
      <c r="C196" s="46" t="s">
        <v>20</v>
      </c>
      <c r="D196" s="46">
        <v>29</v>
      </c>
      <c r="E196" s="49">
        <v>0</v>
      </c>
      <c r="F196" s="49">
        <v>0.17</v>
      </c>
    </row>
    <row r="197" spans="1:8">
      <c r="B197" s="46" t="s">
        <v>232</v>
      </c>
      <c r="C197" s="46" t="s">
        <v>20</v>
      </c>
      <c r="D197" s="46">
        <v>30</v>
      </c>
      <c r="E197" s="49">
        <v>0</v>
      </c>
      <c r="F197" s="49">
        <v>0.17</v>
      </c>
    </row>
    <row r="198" spans="1:8" ht="13.5" thickBot="1">
      <c r="B198" s="45" t="s">
        <v>233</v>
      </c>
      <c r="C198" s="45" t="s">
        <v>20</v>
      </c>
      <c r="D198" s="45">
        <v>31</v>
      </c>
      <c r="E198" s="50">
        <v>0</v>
      </c>
      <c r="F198" s="50">
        <v>0.1591158284679598</v>
      </c>
    </row>
    <row r="201" spans="1:8" ht="13.5" thickBot="1">
      <c r="A201" t="s">
        <v>38</v>
      </c>
    </row>
    <row r="202" spans="1:8" ht="13.5" thickBot="1">
      <c r="B202" s="70" t="s">
        <v>33</v>
      </c>
      <c r="C202" s="70" t="s">
        <v>34</v>
      </c>
      <c r="D202" s="70" t="s">
        <v>0</v>
      </c>
      <c r="E202" s="70" t="s">
        <v>39</v>
      </c>
      <c r="F202" s="70" t="s">
        <v>40</v>
      </c>
      <c r="G202" s="70" t="s">
        <v>41</v>
      </c>
      <c r="H202" s="70" t="s">
        <v>42</v>
      </c>
    </row>
    <row r="203" spans="1:8">
      <c r="B203" s="46" t="s">
        <v>234</v>
      </c>
      <c r="C203" s="46" t="s">
        <v>640</v>
      </c>
      <c r="D203" s="73"/>
      <c r="E203" s="48">
        <v>504.18346543112835</v>
      </c>
      <c r="F203" s="46" t="s">
        <v>235</v>
      </c>
      <c r="G203" s="46" t="s">
        <v>236</v>
      </c>
      <c r="H203" s="48">
        <v>304.18346543112835</v>
      </c>
    </row>
    <row r="204" spans="1:8">
      <c r="B204" s="46" t="s">
        <v>237</v>
      </c>
      <c r="C204" s="46" t="s">
        <v>641</v>
      </c>
      <c r="D204" s="73"/>
      <c r="E204" s="48">
        <v>1308.7064900000009</v>
      </c>
      <c r="F204" s="46" t="s">
        <v>238</v>
      </c>
      <c r="G204" s="46" t="s">
        <v>236</v>
      </c>
      <c r="H204" s="48">
        <v>408.70649000000094</v>
      </c>
    </row>
    <row r="205" spans="1:8">
      <c r="B205" s="46" t="s">
        <v>239</v>
      </c>
      <c r="C205" s="46" t="s">
        <v>642</v>
      </c>
      <c r="D205" s="73"/>
      <c r="E205" s="48">
        <v>47.647799272727276</v>
      </c>
      <c r="F205" s="46" t="s">
        <v>240</v>
      </c>
      <c r="G205" s="46" t="s">
        <v>241</v>
      </c>
      <c r="H205" s="46">
        <v>0</v>
      </c>
    </row>
    <row r="206" spans="1:8">
      <c r="B206" s="46" t="s">
        <v>242</v>
      </c>
      <c r="C206" s="46" t="s">
        <v>643</v>
      </c>
      <c r="D206" s="73"/>
      <c r="E206" s="48">
        <v>47.647799272727276</v>
      </c>
      <c r="F206" s="46" t="s">
        <v>243</v>
      </c>
      <c r="G206" s="46" t="s">
        <v>241</v>
      </c>
      <c r="H206" s="46">
        <v>0</v>
      </c>
    </row>
    <row r="207" spans="1:8">
      <c r="B207" s="46" t="s">
        <v>244</v>
      </c>
      <c r="C207" s="46" t="s">
        <v>644</v>
      </c>
      <c r="D207" s="73"/>
      <c r="E207" s="48">
        <v>47.647799272727276</v>
      </c>
      <c r="F207" s="46" t="s">
        <v>245</v>
      </c>
      <c r="G207" s="46" t="s">
        <v>241</v>
      </c>
      <c r="H207" s="46">
        <v>0</v>
      </c>
    </row>
    <row r="208" spans="1:8">
      <c r="B208" s="46" t="s">
        <v>246</v>
      </c>
      <c r="C208" s="46" t="s">
        <v>28</v>
      </c>
      <c r="D208" s="73">
        <v>1</v>
      </c>
      <c r="E208" s="48">
        <v>47.647799272727283</v>
      </c>
      <c r="F208" s="46" t="s">
        <v>247</v>
      </c>
      <c r="G208" s="46" t="s">
        <v>241</v>
      </c>
      <c r="H208" s="46">
        <v>0</v>
      </c>
    </row>
    <row r="209" spans="2:8">
      <c r="B209" s="46" t="s">
        <v>248</v>
      </c>
      <c r="C209" s="46" t="s">
        <v>28</v>
      </c>
      <c r="D209" s="73">
        <v>2</v>
      </c>
      <c r="E209" s="48">
        <v>47.647799272727283</v>
      </c>
      <c r="F209" s="46" t="s">
        <v>249</v>
      </c>
      <c r="G209" s="46" t="s">
        <v>241</v>
      </c>
      <c r="H209" s="46">
        <v>0</v>
      </c>
    </row>
    <row r="210" spans="2:8">
      <c r="B210" s="46" t="s">
        <v>250</v>
      </c>
      <c r="C210" s="46" t="s">
        <v>28</v>
      </c>
      <c r="D210" s="46">
        <v>3</v>
      </c>
      <c r="E210" s="48">
        <v>47.647799272727276</v>
      </c>
      <c r="F210" s="46" t="s">
        <v>251</v>
      </c>
      <c r="G210" s="46" t="s">
        <v>241</v>
      </c>
      <c r="H210" s="46">
        <v>0</v>
      </c>
    </row>
    <row r="211" spans="2:8">
      <c r="B211" s="46" t="s">
        <v>252</v>
      </c>
      <c r="C211" s="46" t="s">
        <v>28</v>
      </c>
      <c r="D211" s="46">
        <v>4</v>
      </c>
      <c r="E211" s="48">
        <v>39.059431736066919</v>
      </c>
      <c r="F211" s="46" t="s">
        <v>253</v>
      </c>
      <c r="G211" s="46" t="s">
        <v>236</v>
      </c>
      <c r="H211" s="46">
        <v>8.5883675366603569</v>
      </c>
    </row>
    <row r="212" spans="2:8">
      <c r="B212" s="46" t="s">
        <v>254</v>
      </c>
      <c r="C212" s="46" t="s">
        <v>28</v>
      </c>
      <c r="D212" s="46">
        <v>5</v>
      </c>
      <c r="E212" s="48">
        <v>36.369677591003601</v>
      </c>
      <c r="F212" s="46" t="s">
        <v>255</v>
      </c>
      <c r="G212" s="46" t="s">
        <v>236</v>
      </c>
      <c r="H212" s="46">
        <v>11.278121681723675</v>
      </c>
    </row>
    <row r="213" spans="2:8">
      <c r="B213" s="46" t="s">
        <v>256</v>
      </c>
      <c r="C213" s="46" t="s">
        <v>28</v>
      </c>
      <c r="D213" s="46">
        <v>6</v>
      </c>
      <c r="E213" s="48">
        <v>41.749185881134174</v>
      </c>
      <c r="F213" s="46" t="s">
        <v>257</v>
      </c>
      <c r="G213" s="46" t="s">
        <v>236</v>
      </c>
      <c r="H213" s="46">
        <v>5.8986133915931021</v>
      </c>
    </row>
    <row r="214" spans="2:8">
      <c r="B214" s="46" t="s">
        <v>258</v>
      </c>
      <c r="C214" s="46" t="s">
        <v>28</v>
      </c>
      <c r="D214" s="46">
        <v>7</v>
      </c>
      <c r="E214" s="48">
        <v>45.111378562468197</v>
      </c>
      <c r="F214" s="46" t="s">
        <v>259</v>
      </c>
      <c r="G214" s="46" t="s">
        <v>236</v>
      </c>
      <c r="H214" s="46">
        <v>2.5364207102590797</v>
      </c>
    </row>
    <row r="215" spans="2:8">
      <c r="B215" s="46" t="s">
        <v>260</v>
      </c>
      <c r="C215" s="46" t="s">
        <v>28</v>
      </c>
      <c r="D215" s="46">
        <v>8</v>
      </c>
      <c r="E215" s="48">
        <v>47.647799272727276</v>
      </c>
      <c r="F215" s="46" t="s">
        <v>261</v>
      </c>
      <c r="G215" s="46" t="s">
        <v>241</v>
      </c>
      <c r="H215" s="46">
        <v>0</v>
      </c>
    </row>
    <row r="216" spans="2:8">
      <c r="B216" s="46" t="s">
        <v>262</v>
      </c>
      <c r="C216" s="46" t="s">
        <v>28</v>
      </c>
      <c r="D216" s="46">
        <v>9</v>
      </c>
      <c r="E216" s="48">
        <v>47.647799272727262</v>
      </c>
      <c r="F216" s="46" t="s">
        <v>263</v>
      </c>
      <c r="G216" s="46" t="s">
        <v>241</v>
      </c>
      <c r="H216" s="46">
        <v>0</v>
      </c>
    </row>
    <row r="217" spans="2:8">
      <c r="B217" s="46" t="s">
        <v>264</v>
      </c>
      <c r="C217" s="46" t="s">
        <v>28</v>
      </c>
      <c r="D217" s="46">
        <v>10</v>
      </c>
      <c r="E217" s="48">
        <v>10.01008852769324</v>
      </c>
      <c r="F217" s="46" t="s">
        <v>265</v>
      </c>
      <c r="G217" s="46" t="s">
        <v>236</v>
      </c>
      <c r="H217" s="46">
        <v>3.8871862601855458</v>
      </c>
    </row>
    <row r="218" spans="2:8">
      <c r="B218" s="46" t="s">
        <v>266</v>
      </c>
      <c r="C218" s="46" t="s">
        <v>28</v>
      </c>
      <c r="D218" s="46">
        <v>11</v>
      </c>
      <c r="E218" s="48">
        <v>26.148612298083144</v>
      </c>
      <c r="F218" s="46" t="s">
        <v>267</v>
      </c>
      <c r="G218" s="46" t="s">
        <v>236</v>
      </c>
      <c r="H218" s="46">
        <v>11.572562126159276</v>
      </c>
    </row>
    <row r="219" spans="2:8">
      <c r="B219" s="46" t="s">
        <v>268</v>
      </c>
      <c r="C219" s="46" t="s">
        <v>28</v>
      </c>
      <c r="D219" s="46">
        <v>12</v>
      </c>
      <c r="E219" s="48">
        <v>44.102720758067989</v>
      </c>
      <c r="F219" s="46" t="s">
        <v>269</v>
      </c>
      <c r="G219" s="46" t="s">
        <v>236</v>
      </c>
      <c r="H219" s="46">
        <v>3.5450785146592878</v>
      </c>
    </row>
    <row r="220" spans="2:8">
      <c r="B220" s="46" t="s">
        <v>270</v>
      </c>
      <c r="C220" s="46" t="s">
        <v>28</v>
      </c>
      <c r="D220" s="46">
        <v>13</v>
      </c>
      <c r="E220" s="48">
        <v>45.447597830601588</v>
      </c>
      <c r="F220" s="46" t="s">
        <v>271</v>
      </c>
      <c r="G220" s="46" t="s">
        <v>236</v>
      </c>
      <c r="H220" s="46">
        <v>2.2002014421256888</v>
      </c>
    </row>
    <row r="221" spans="2:8">
      <c r="B221" s="46" t="s">
        <v>272</v>
      </c>
      <c r="C221" s="46" t="s">
        <v>28</v>
      </c>
      <c r="D221" s="46">
        <v>14</v>
      </c>
      <c r="E221" s="48">
        <v>47.647799272727283</v>
      </c>
      <c r="F221" s="46" t="s">
        <v>273</v>
      </c>
      <c r="G221" s="46" t="s">
        <v>241</v>
      </c>
      <c r="H221" s="46">
        <v>0</v>
      </c>
    </row>
    <row r="222" spans="2:8">
      <c r="B222" s="46" t="s">
        <v>274</v>
      </c>
      <c r="C222" s="46" t="s">
        <v>28</v>
      </c>
      <c r="D222" s="46">
        <v>15</v>
      </c>
      <c r="E222" s="48">
        <v>47.647799272727283</v>
      </c>
      <c r="F222" s="46" t="s">
        <v>275</v>
      </c>
      <c r="G222" s="46" t="s">
        <v>241</v>
      </c>
      <c r="H222" s="46">
        <v>0</v>
      </c>
    </row>
    <row r="223" spans="2:8">
      <c r="B223" s="46" t="s">
        <v>276</v>
      </c>
      <c r="C223" s="46" t="s">
        <v>28</v>
      </c>
      <c r="D223" s="46">
        <v>16</v>
      </c>
      <c r="E223" s="48">
        <v>47.647799272727269</v>
      </c>
      <c r="F223" s="46" t="s">
        <v>277</v>
      </c>
      <c r="G223" s="46" t="s">
        <v>241</v>
      </c>
      <c r="H223" s="46">
        <v>0</v>
      </c>
    </row>
    <row r="224" spans="2:8">
      <c r="B224" s="46" t="s">
        <v>278</v>
      </c>
      <c r="C224" s="46" t="s">
        <v>28</v>
      </c>
      <c r="D224" s="46">
        <v>17</v>
      </c>
      <c r="E224" s="48">
        <v>39.261163296946961</v>
      </c>
      <c r="F224" s="46" t="s">
        <v>279</v>
      </c>
      <c r="G224" s="46" t="s">
        <v>236</v>
      </c>
      <c r="H224" s="46">
        <v>8.3866359757803153</v>
      </c>
    </row>
    <row r="225" spans="2:8">
      <c r="B225" s="46" t="s">
        <v>280</v>
      </c>
      <c r="C225" s="46" t="s">
        <v>28</v>
      </c>
      <c r="D225" s="46">
        <v>18</v>
      </c>
      <c r="E225" s="48">
        <v>36.571409151879735</v>
      </c>
      <c r="F225" s="46" t="s">
        <v>281</v>
      </c>
      <c r="G225" s="46" t="s">
        <v>236</v>
      </c>
      <c r="H225" s="46">
        <v>11.076390120847542</v>
      </c>
    </row>
    <row r="226" spans="2:8">
      <c r="B226" s="46" t="s">
        <v>282</v>
      </c>
      <c r="C226" s="46" t="s">
        <v>28</v>
      </c>
      <c r="D226" s="46">
        <v>19</v>
      </c>
      <c r="E226" s="48">
        <v>41.950917442014195</v>
      </c>
      <c r="F226" s="46" t="s">
        <v>283</v>
      </c>
      <c r="G226" s="46" t="s">
        <v>236</v>
      </c>
      <c r="H226" s="46">
        <v>5.6968818307130817</v>
      </c>
    </row>
    <row r="227" spans="2:8">
      <c r="B227" s="46" t="s">
        <v>284</v>
      </c>
      <c r="C227" s="46" t="s">
        <v>28</v>
      </c>
      <c r="D227" s="46">
        <v>20</v>
      </c>
      <c r="E227" s="48">
        <v>43.094064366450745</v>
      </c>
      <c r="F227" s="46" t="s">
        <v>285</v>
      </c>
      <c r="G227" s="46" t="s">
        <v>236</v>
      </c>
      <c r="H227" s="46">
        <v>4.5537349062765315</v>
      </c>
    </row>
    <row r="228" spans="2:8">
      <c r="B228" s="46" t="s">
        <v>286</v>
      </c>
      <c r="C228" s="46" t="s">
        <v>28</v>
      </c>
      <c r="D228" s="46">
        <v>21</v>
      </c>
      <c r="E228" s="48">
        <v>47.647799272727283</v>
      </c>
      <c r="F228" s="46" t="s">
        <v>287</v>
      </c>
      <c r="G228" s="46" t="s">
        <v>241</v>
      </c>
      <c r="H228" s="46">
        <v>0</v>
      </c>
    </row>
    <row r="229" spans="2:8">
      <c r="B229" s="46" t="s">
        <v>288</v>
      </c>
      <c r="C229" s="46" t="s">
        <v>28</v>
      </c>
      <c r="D229" s="46">
        <v>22</v>
      </c>
      <c r="E229" s="48">
        <v>47.647799272727276</v>
      </c>
      <c r="F229" s="46" t="s">
        <v>289</v>
      </c>
      <c r="G229" s="46" t="s">
        <v>241</v>
      </c>
      <c r="H229" s="46">
        <v>0</v>
      </c>
    </row>
    <row r="230" spans="2:8">
      <c r="B230" s="46" t="s">
        <v>290</v>
      </c>
      <c r="C230" s="46" t="s">
        <v>28</v>
      </c>
      <c r="D230" s="46">
        <v>23</v>
      </c>
      <c r="E230" s="48">
        <v>47.647799272727283</v>
      </c>
      <c r="F230" s="46" t="s">
        <v>291</v>
      </c>
      <c r="G230" s="46" t="s">
        <v>241</v>
      </c>
      <c r="H230" s="46">
        <v>0</v>
      </c>
    </row>
    <row r="231" spans="2:8">
      <c r="B231" s="46" t="s">
        <v>292</v>
      </c>
      <c r="C231" s="46" t="s">
        <v>28</v>
      </c>
      <c r="D231" s="46">
        <v>24</v>
      </c>
      <c r="E231" s="48">
        <v>47.647799272727269</v>
      </c>
      <c r="F231" s="46" t="s">
        <v>293</v>
      </c>
      <c r="G231" s="46" t="s">
        <v>241</v>
      </c>
      <c r="H231" s="46">
        <v>0</v>
      </c>
    </row>
    <row r="232" spans="2:8">
      <c r="B232" s="46" t="s">
        <v>294</v>
      </c>
      <c r="C232" s="46" t="s">
        <v>28</v>
      </c>
      <c r="D232" s="46">
        <v>25</v>
      </c>
      <c r="E232" s="48">
        <v>26.402492592292695</v>
      </c>
      <c r="F232" s="46" t="s">
        <v>295</v>
      </c>
      <c r="G232" s="46" t="s">
        <v>236</v>
      </c>
      <c r="H232" s="46">
        <v>21.245306680434581</v>
      </c>
    </row>
    <row r="233" spans="2:8">
      <c r="B233" s="46" t="s">
        <v>296</v>
      </c>
      <c r="C233" s="46" t="s">
        <v>28</v>
      </c>
      <c r="D233" s="46">
        <v>26</v>
      </c>
      <c r="E233" s="48">
        <v>41.688876068402742</v>
      </c>
      <c r="F233" s="46" t="s">
        <v>297</v>
      </c>
      <c r="G233" s="46" t="s">
        <v>236</v>
      </c>
      <c r="H233" s="46">
        <v>5.9589232043245346</v>
      </c>
    </row>
    <row r="234" spans="2:8">
      <c r="B234" s="46" t="s">
        <v>298</v>
      </c>
      <c r="C234" s="46" t="s">
        <v>28</v>
      </c>
      <c r="D234" s="46">
        <v>27</v>
      </c>
      <c r="E234" s="48">
        <v>45.851060952361692</v>
      </c>
      <c r="F234" s="46" t="s">
        <v>299</v>
      </c>
      <c r="G234" s="46" t="s">
        <v>236</v>
      </c>
      <c r="H234" s="46">
        <v>1.7967383203655842</v>
      </c>
    </row>
    <row r="235" spans="2:8">
      <c r="B235" s="46" t="s">
        <v>300</v>
      </c>
      <c r="C235" s="46" t="s">
        <v>28</v>
      </c>
      <c r="D235" s="46">
        <v>28</v>
      </c>
      <c r="E235" s="48">
        <v>47.647799272727283</v>
      </c>
      <c r="F235" s="46" t="s">
        <v>301</v>
      </c>
      <c r="G235" s="46" t="s">
        <v>241</v>
      </c>
      <c r="H235" s="46">
        <v>0</v>
      </c>
    </row>
    <row r="236" spans="2:8">
      <c r="B236" s="46" t="s">
        <v>302</v>
      </c>
      <c r="C236" s="46" t="s">
        <v>28</v>
      </c>
      <c r="D236" s="46">
        <v>29</v>
      </c>
      <c r="E236" s="48">
        <v>310</v>
      </c>
      <c r="F236" s="46" t="s">
        <v>303</v>
      </c>
      <c r="G236" s="46" t="s">
        <v>236</v>
      </c>
      <c r="H236" s="46">
        <v>0</v>
      </c>
    </row>
    <row r="237" spans="2:8">
      <c r="B237" s="46" t="s">
        <v>304</v>
      </c>
      <c r="C237" s="46" t="s">
        <v>28</v>
      </c>
      <c r="D237" s="46">
        <v>30</v>
      </c>
      <c r="E237" s="48">
        <v>407.99999998797568</v>
      </c>
      <c r="F237" s="46" t="s">
        <v>305</v>
      </c>
      <c r="G237" s="46" t="s">
        <v>236</v>
      </c>
      <c r="H237" s="46">
        <v>0</v>
      </c>
    </row>
    <row r="238" spans="2:8">
      <c r="B238" s="46" t="s">
        <v>306</v>
      </c>
      <c r="C238" s="46" t="s">
        <v>28</v>
      </c>
      <c r="D238" s="46">
        <v>31</v>
      </c>
      <c r="E238" s="48">
        <v>103</v>
      </c>
      <c r="F238" s="46" t="s">
        <v>307</v>
      </c>
      <c r="G238" s="46" t="s">
        <v>241</v>
      </c>
      <c r="H238" s="46">
        <v>0</v>
      </c>
    </row>
    <row r="239" spans="2:8">
      <c r="B239" s="46" t="s">
        <v>308</v>
      </c>
      <c r="C239" s="46" t="s">
        <v>4</v>
      </c>
      <c r="D239" s="46">
        <v>1</v>
      </c>
      <c r="E239" s="48">
        <v>10230</v>
      </c>
      <c r="F239" s="46" t="s">
        <v>309</v>
      </c>
      <c r="G239" s="46" t="s">
        <v>241</v>
      </c>
      <c r="H239" s="46">
        <v>0</v>
      </c>
    </row>
    <row r="240" spans="2:8">
      <c r="B240" s="46" t="s">
        <v>310</v>
      </c>
      <c r="C240" s="46" t="s">
        <v>4</v>
      </c>
      <c r="D240" s="46">
        <v>2</v>
      </c>
      <c r="E240" s="48">
        <v>10230</v>
      </c>
      <c r="F240" s="46" t="s">
        <v>311</v>
      </c>
      <c r="G240" s="46" t="s">
        <v>236</v>
      </c>
      <c r="H240" s="46">
        <v>0</v>
      </c>
    </row>
    <row r="241" spans="2:8">
      <c r="B241" s="46" t="s">
        <v>312</v>
      </c>
      <c r="C241" s="46" t="s">
        <v>4</v>
      </c>
      <c r="D241" s="46">
        <v>3</v>
      </c>
      <c r="E241" s="48">
        <v>10230</v>
      </c>
      <c r="F241" s="46" t="s">
        <v>313</v>
      </c>
      <c r="G241" s="46" t="s">
        <v>236</v>
      </c>
      <c r="H241" s="46">
        <v>0</v>
      </c>
    </row>
    <row r="242" spans="2:8">
      <c r="B242" s="46" t="s">
        <v>314</v>
      </c>
      <c r="C242" s="46" t="s">
        <v>4</v>
      </c>
      <c r="D242" s="46">
        <v>4</v>
      </c>
      <c r="E242" s="48">
        <v>10230.000000000002</v>
      </c>
      <c r="F242" s="46" t="s">
        <v>315</v>
      </c>
      <c r="G242" s="46" t="s">
        <v>236</v>
      </c>
      <c r="H242" s="46">
        <v>0</v>
      </c>
    </row>
    <row r="243" spans="2:8">
      <c r="B243" s="46" t="s">
        <v>316</v>
      </c>
      <c r="C243" s="46" t="s">
        <v>4</v>
      </c>
      <c r="D243" s="46">
        <v>5</v>
      </c>
      <c r="E243" s="48">
        <v>10230.000000000002</v>
      </c>
      <c r="F243" s="46" t="s">
        <v>317</v>
      </c>
      <c r="G243" s="46" t="s">
        <v>236</v>
      </c>
      <c r="H243" s="46">
        <v>0</v>
      </c>
    </row>
    <row r="244" spans="2:8">
      <c r="B244" s="46" t="s">
        <v>318</v>
      </c>
      <c r="C244" s="46" t="s">
        <v>4</v>
      </c>
      <c r="D244" s="46">
        <v>6</v>
      </c>
      <c r="E244" s="48">
        <v>10230</v>
      </c>
      <c r="F244" s="46" t="s">
        <v>319</v>
      </c>
      <c r="G244" s="46" t="s">
        <v>241</v>
      </c>
      <c r="H244" s="46">
        <v>0</v>
      </c>
    </row>
    <row r="245" spans="2:8">
      <c r="B245" s="46" t="s">
        <v>320</v>
      </c>
      <c r="C245" s="46" t="s">
        <v>4</v>
      </c>
      <c r="D245" s="46">
        <v>7</v>
      </c>
      <c r="E245" s="48">
        <v>8849.9999410283617</v>
      </c>
      <c r="F245" s="46" t="s">
        <v>321</v>
      </c>
      <c r="G245" s="46" t="s">
        <v>241</v>
      </c>
      <c r="H245" s="46">
        <v>0</v>
      </c>
    </row>
    <row r="246" spans="2:8">
      <c r="B246" s="46" t="s">
        <v>322</v>
      </c>
      <c r="C246" s="46" t="s">
        <v>4</v>
      </c>
      <c r="D246" s="46">
        <v>8</v>
      </c>
      <c r="E246" s="48">
        <v>8449.9999225598676</v>
      </c>
      <c r="F246" s="46" t="s">
        <v>323</v>
      </c>
      <c r="G246" s="46" t="s">
        <v>241</v>
      </c>
      <c r="H246" s="46">
        <v>0</v>
      </c>
    </row>
    <row r="247" spans="2:8">
      <c r="B247" s="46" t="s">
        <v>324</v>
      </c>
      <c r="C247" s="46" t="s">
        <v>4</v>
      </c>
      <c r="D247" s="46">
        <v>9</v>
      </c>
      <c r="E247" s="48">
        <v>9249.9999594974379</v>
      </c>
      <c r="F247" s="46" t="s">
        <v>325</v>
      </c>
      <c r="G247" s="46" t="s">
        <v>236</v>
      </c>
      <c r="H247" s="46">
        <v>0</v>
      </c>
    </row>
    <row r="248" spans="2:8">
      <c r="B248" s="46" t="s">
        <v>326</v>
      </c>
      <c r="C248" s="46" t="s">
        <v>4</v>
      </c>
      <c r="D248" s="46">
        <v>10</v>
      </c>
      <c r="E248" s="48">
        <v>9749.9999825837804</v>
      </c>
      <c r="F248" s="46" t="s">
        <v>327</v>
      </c>
      <c r="G248" s="46" t="s">
        <v>236</v>
      </c>
      <c r="H248" s="46">
        <v>0</v>
      </c>
    </row>
    <row r="249" spans="2:8">
      <c r="B249" s="46" t="s">
        <v>328</v>
      </c>
      <c r="C249" s="46" t="s">
        <v>4</v>
      </c>
      <c r="D249" s="46">
        <v>11</v>
      </c>
      <c r="E249" s="48">
        <v>10230</v>
      </c>
      <c r="F249" s="46" t="s">
        <v>329</v>
      </c>
      <c r="G249" s="46" t="s">
        <v>236</v>
      </c>
      <c r="H249" s="46">
        <v>0</v>
      </c>
    </row>
    <row r="250" spans="2:8">
      <c r="B250" s="46" t="s">
        <v>330</v>
      </c>
      <c r="C250" s="46" t="s">
        <v>4</v>
      </c>
      <c r="D250" s="46">
        <v>12</v>
      </c>
      <c r="E250" s="48">
        <v>10229.999999999998</v>
      </c>
      <c r="F250" s="46" t="s">
        <v>331</v>
      </c>
      <c r="G250" s="46" t="s">
        <v>236</v>
      </c>
      <c r="H250" s="46">
        <v>0</v>
      </c>
    </row>
    <row r="251" spans="2:8">
      <c r="B251" s="46" t="s">
        <v>332</v>
      </c>
      <c r="C251" s="46" t="s">
        <v>4</v>
      </c>
      <c r="D251" s="46">
        <v>13</v>
      </c>
      <c r="E251" s="48">
        <v>4529.9999733088116</v>
      </c>
      <c r="F251" s="46" t="s">
        <v>333</v>
      </c>
      <c r="G251" s="46" t="s">
        <v>241</v>
      </c>
      <c r="H251" s="46">
        <v>0</v>
      </c>
    </row>
    <row r="252" spans="2:8">
      <c r="B252" s="46" t="s">
        <v>334</v>
      </c>
      <c r="C252" s="46" t="s">
        <v>4</v>
      </c>
      <c r="D252" s="46">
        <v>14</v>
      </c>
      <c r="E252" s="48">
        <v>6929.9999205375234</v>
      </c>
      <c r="F252" s="46" t="s">
        <v>335</v>
      </c>
      <c r="G252" s="46" t="s">
        <v>241</v>
      </c>
      <c r="H252" s="46">
        <v>0</v>
      </c>
    </row>
    <row r="253" spans="2:8">
      <c r="B253" s="46" t="s">
        <v>336</v>
      </c>
      <c r="C253" s="46" t="s">
        <v>4</v>
      </c>
      <c r="D253" s="46">
        <v>15</v>
      </c>
      <c r="E253" s="48">
        <v>9599.99997565788</v>
      </c>
      <c r="F253" s="46" t="s">
        <v>337</v>
      </c>
      <c r="G253" s="46" t="s">
        <v>241</v>
      </c>
      <c r="H253" s="46">
        <v>0</v>
      </c>
    </row>
    <row r="254" spans="2:8">
      <c r="B254" s="46" t="s">
        <v>338</v>
      </c>
      <c r="C254" s="46" t="s">
        <v>4</v>
      </c>
      <c r="D254" s="46">
        <v>16</v>
      </c>
      <c r="E254" s="48">
        <v>9799.9999848924144</v>
      </c>
      <c r="F254" s="46" t="s">
        <v>339</v>
      </c>
      <c r="G254" s="46" t="s">
        <v>241</v>
      </c>
      <c r="H254" s="46">
        <v>0</v>
      </c>
    </row>
    <row r="255" spans="2:8">
      <c r="B255" s="46" t="s">
        <v>340</v>
      </c>
      <c r="C255" s="46" t="s">
        <v>4</v>
      </c>
      <c r="D255" s="46">
        <v>17</v>
      </c>
      <c r="E255" s="48">
        <v>10230.000000000002</v>
      </c>
      <c r="F255" s="46" t="s">
        <v>341</v>
      </c>
      <c r="G255" s="46" t="s">
        <v>236</v>
      </c>
      <c r="H255" s="46">
        <v>0</v>
      </c>
    </row>
    <row r="256" spans="2:8">
      <c r="B256" s="46" t="s">
        <v>342</v>
      </c>
      <c r="C256" s="46" t="s">
        <v>4</v>
      </c>
      <c r="D256" s="46">
        <v>18</v>
      </c>
      <c r="E256" s="48">
        <v>10229.999999999976</v>
      </c>
      <c r="F256" s="46" t="s">
        <v>343</v>
      </c>
      <c r="G256" s="46" t="s">
        <v>236</v>
      </c>
      <c r="H256" s="46">
        <v>0</v>
      </c>
    </row>
    <row r="257" spans="2:8">
      <c r="B257" s="46" t="s">
        <v>344</v>
      </c>
      <c r="C257" s="46" t="s">
        <v>4</v>
      </c>
      <c r="D257" s="46">
        <v>19</v>
      </c>
      <c r="E257" s="48">
        <v>10230.000000000031</v>
      </c>
      <c r="F257" s="46" t="s">
        <v>345</v>
      </c>
      <c r="G257" s="46" t="s">
        <v>236</v>
      </c>
      <c r="H257" s="46">
        <v>0</v>
      </c>
    </row>
    <row r="258" spans="2:8">
      <c r="B258" s="46" t="s">
        <v>346</v>
      </c>
      <c r="C258" s="46" t="s">
        <v>4</v>
      </c>
      <c r="D258" s="46">
        <v>20</v>
      </c>
      <c r="E258" s="48">
        <v>8879.9999424135422</v>
      </c>
      <c r="F258" s="46" t="s">
        <v>347</v>
      </c>
      <c r="G258" s="46" t="s">
        <v>241</v>
      </c>
      <c r="H258" s="46">
        <v>0</v>
      </c>
    </row>
    <row r="259" spans="2:8">
      <c r="B259" s="46" t="s">
        <v>348</v>
      </c>
      <c r="C259" s="46" t="s">
        <v>4</v>
      </c>
      <c r="D259" s="46">
        <v>21</v>
      </c>
      <c r="E259" s="48">
        <v>8479.9999239444678</v>
      </c>
      <c r="F259" s="46" t="s">
        <v>349</v>
      </c>
      <c r="G259" s="46" t="s">
        <v>241</v>
      </c>
      <c r="H259" s="46">
        <v>0</v>
      </c>
    </row>
    <row r="260" spans="2:8">
      <c r="B260" s="46" t="s">
        <v>350</v>
      </c>
      <c r="C260" s="46" t="s">
        <v>4</v>
      </c>
      <c r="D260" s="46">
        <v>22</v>
      </c>
      <c r="E260" s="48">
        <v>9279.9999608826165</v>
      </c>
      <c r="F260" s="46" t="s">
        <v>351</v>
      </c>
      <c r="G260" s="46" t="s">
        <v>241</v>
      </c>
      <c r="H260" s="46">
        <v>0</v>
      </c>
    </row>
    <row r="261" spans="2:8">
      <c r="B261" s="46" t="s">
        <v>352</v>
      </c>
      <c r="C261" s="46" t="s">
        <v>4</v>
      </c>
      <c r="D261" s="46">
        <v>23</v>
      </c>
      <c r="E261" s="48">
        <v>9450.000178830438</v>
      </c>
      <c r="F261" s="46" t="s">
        <v>353</v>
      </c>
      <c r="G261" s="46" t="s">
        <v>241</v>
      </c>
      <c r="H261" s="46">
        <v>0</v>
      </c>
    </row>
    <row r="262" spans="2:8">
      <c r="B262" s="46" t="s">
        <v>354</v>
      </c>
      <c r="C262" s="46" t="s">
        <v>4</v>
      </c>
      <c r="D262" s="46">
        <v>24</v>
      </c>
      <c r="E262" s="48">
        <v>10260.000000000002</v>
      </c>
      <c r="F262" s="46" t="s">
        <v>355</v>
      </c>
      <c r="G262" s="46" t="s">
        <v>241</v>
      </c>
      <c r="H262" s="46">
        <v>0</v>
      </c>
    </row>
    <row r="263" spans="2:8">
      <c r="B263" s="46" t="s">
        <v>356</v>
      </c>
      <c r="C263" s="46" t="s">
        <v>4</v>
      </c>
      <c r="D263" s="46">
        <v>25</v>
      </c>
      <c r="E263" s="48">
        <v>10260</v>
      </c>
      <c r="F263" s="46" t="s">
        <v>357</v>
      </c>
      <c r="G263" s="46" t="s">
        <v>241</v>
      </c>
      <c r="H263" s="46">
        <v>0</v>
      </c>
    </row>
    <row r="264" spans="2:8">
      <c r="B264" s="46" t="s">
        <v>358</v>
      </c>
      <c r="C264" s="46" t="s">
        <v>4</v>
      </c>
      <c r="D264" s="46">
        <v>26</v>
      </c>
      <c r="E264" s="48">
        <v>10259.999999999998</v>
      </c>
      <c r="F264" s="46" t="s">
        <v>359</v>
      </c>
      <c r="G264" s="46" t="s">
        <v>241</v>
      </c>
      <c r="H264" s="46">
        <v>0</v>
      </c>
    </row>
    <row r="265" spans="2:8">
      <c r="B265" s="46" t="s">
        <v>360</v>
      </c>
      <c r="C265" s="46" t="s">
        <v>4</v>
      </c>
      <c r="D265" s="46">
        <v>27</v>
      </c>
      <c r="E265" s="48">
        <v>10259.999999999998</v>
      </c>
      <c r="F265" s="46" t="s">
        <v>361</v>
      </c>
      <c r="G265" s="46" t="s">
        <v>241</v>
      </c>
      <c r="H265" s="46">
        <v>0</v>
      </c>
    </row>
    <row r="266" spans="2:8">
      <c r="B266" s="46" t="s">
        <v>362</v>
      </c>
      <c r="C266" s="46" t="s">
        <v>4</v>
      </c>
      <c r="D266" s="46">
        <v>28</v>
      </c>
      <c r="E266" s="48">
        <v>4560</v>
      </c>
      <c r="F266" s="46" t="s">
        <v>363</v>
      </c>
      <c r="G266" s="46" t="s">
        <v>241</v>
      </c>
      <c r="H266" s="46">
        <v>0</v>
      </c>
    </row>
    <row r="267" spans="2:8">
      <c r="B267" s="46" t="s">
        <v>364</v>
      </c>
      <c r="C267" s="46" t="s">
        <v>4</v>
      </c>
      <c r="D267" s="46">
        <v>29</v>
      </c>
      <c r="E267" s="48">
        <v>6960.0000000000009</v>
      </c>
      <c r="F267" s="46" t="s">
        <v>365</v>
      </c>
      <c r="G267" s="46" t="s">
        <v>241</v>
      </c>
      <c r="H267" s="46">
        <v>0</v>
      </c>
    </row>
    <row r="268" spans="2:8">
      <c r="B268" s="46" t="s">
        <v>366</v>
      </c>
      <c r="C268" s="46" t="s">
        <v>4</v>
      </c>
      <c r="D268" s="46">
        <v>30</v>
      </c>
      <c r="E268" s="48">
        <v>9859.9999876627789</v>
      </c>
      <c r="F268" s="46" t="s">
        <v>367</v>
      </c>
      <c r="G268" s="46" t="s">
        <v>241</v>
      </c>
      <c r="H268" s="46">
        <v>0</v>
      </c>
    </row>
    <row r="269" spans="2:8">
      <c r="B269" s="46" t="s">
        <v>368</v>
      </c>
      <c r="C269" s="46" t="s">
        <v>4</v>
      </c>
      <c r="D269" s="46">
        <v>31</v>
      </c>
      <c r="E269" s="48">
        <v>10260.000000000002</v>
      </c>
      <c r="F269" s="46" t="s">
        <v>369</v>
      </c>
      <c r="G269" s="46" t="s">
        <v>241</v>
      </c>
      <c r="H269" s="46">
        <v>0</v>
      </c>
    </row>
    <row r="270" spans="2:8">
      <c r="B270" s="46" t="s">
        <v>46</v>
      </c>
      <c r="C270" s="46" t="s">
        <v>584</v>
      </c>
      <c r="D270" s="46">
        <v>1</v>
      </c>
      <c r="E270" s="48">
        <v>0</v>
      </c>
      <c r="F270" s="46" t="s">
        <v>370</v>
      </c>
      <c r="G270" s="46" t="s">
        <v>236</v>
      </c>
      <c r="H270" s="46">
        <v>50</v>
      </c>
    </row>
    <row r="271" spans="2:8">
      <c r="B271" s="46" t="s">
        <v>51</v>
      </c>
      <c r="C271" s="46" t="s">
        <v>584</v>
      </c>
      <c r="D271" s="46">
        <v>2</v>
      </c>
      <c r="E271" s="48">
        <v>-9.9999999999944578E-4</v>
      </c>
      <c r="F271" s="46" t="s">
        <v>371</v>
      </c>
      <c r="G271" s="46" t="s">
        <v>236</v>
      </c>
      <c r="H271" s="46">
        <v>50.000999999999998</v>
      </c>
    </row>
    <row r="272" spans="2:8">
      <c r="B272" s="46" t="s">
        <v>56</v>
      </c>
      <c r="C272" s="46" t="s">
        <v>584</v>
      </c>
      <c r="D272" s="46">
        <v>3</v>
      </c>
      <c r="E272" s="48">
        <v>-9.9999999999988987E-4</v>
      </c>
      <c r="F272" s="46" t="s">
        <v>372</v>
      </c>
      <c r="G272" s="46" t="s">
        <v>236</v>
      </c>
      <c r="H272" s="46">
        <v>50.000999999999998</v>
      </c>
    </row>
    <row r="273" spans="2:8">
      <c r="B273" s="46" t="s">
        <v>61</v>
      </c>
      <c r="C273" s="46" t="s">
        <v>584</v>
      </c>
      <c r="D273" s="46">
        <v>4</v>
      </c>
      <c r="E273" s="48">
        <v>0</v>
      </c>
      <c r="F273" s="46" t="s">
        <v>373</v>
      </c>
      <c r="G273" s="46" t="s">
        <v>236</v>
      </c>
      <c r="H273" s="46">
        <v>50</v>
      </c>
    </row>
    <row r="274" spans="2:8">
      <c r="B274" s="46" t="s">
        <v>66</v>
      </c>
      <c r="C274" s="46" t="s">
        <v>584</v>
      </c>
      <c r="D274" s="46">
        <v>5</v>
      </c>
      <c r="E274" s="48">
        <v>-9.9999999999988987E-4</v>
      </c>
      <c r="F274" s="46" t="s">
        <v>374</v>
      </c>
      <c r="G274" s="46" t="s">
        <v>236</v>
      </c>
      <c r="H274" s="46">
        <v>50.000999999999998</v>
      </c>
    </row>
    <row r="275" spans="2:8">
      <c r="B275" s="46" t="s">
        <v>71</v>
      </c>
      <c r="C275" s="46" t="s">
        <v>584</v>
      </c>
      <c r="D275" s="46">
        <v>6</v>
      </c>
      <c r="E275" s="48">
        <v>0</v>
      </c>
      <c r="F275" s="46" t="s">
        <v>375</v>
      </c>
      <c r="G275" s="46" t="s">
        <v>236</v>
      </c>
      <c r="H275" s="46">
        <v>50</v>
      </c>
    </row>
    <row r="276" spans="2:8">
      <c r="B276" s="46" t="s">
        <v>76</v>
      </c>
      <c r="C276" s="46" t="s">
        <v>584</v>
      </c>
      <c r="D276" s="46">
        <v>7</v>
      </c>
      <c r="E276" s="48">
        <v>27.058431736066922</v>
      </c>
      <c r="F276" s="46" t="s">
        <v>376</v>
      </c>
      <c r="G276" s="46" t="s">
        <v>236</v>
      </c>
      <c r="H276" s="46">
        <v>22.941568263933078</v>
      </c>
    </row>
    <row r="277" spans="2:8">
      <c r="B277" s="46" t="s">
        <v>81</v>
      </c>
      <c r="C277" s="46" t="s">
        <v>584</v>
      </c>
      <c r="D277" s="46">
        <v>8</v>
      </c>
      <c r="E277" s="48">
        <v>35.848051571385795</v>
      </c>
      <c r="F277" s="46" t="s">
        <v>377</v>
      </c>
      <c r="G277" s="46" t="s">
        <v>236</v>
      </c>
      <c r="H277" s="46">
        <v>14.151948428614205</v>
      </c>
    </row>
    <row r="278" spans="2:8">
      <c r="B278" s="46" t="s">
        <v>86</v>
      </c>
      <c r="C278" s="46" t="s">
        <v>584</v>
      </c>
      <c r="D278" s="46">
        <v>9</v>
      </c>
      <c r="E278" s="48">
        <v>27.710488062772541</v>
      </c>
      <c r="F278" s="46" t="s">
        <v>378</v>
      </c>
      <c r="G278" s="46" t="s">
        <v>236</v>
      </c>
      <c r="H278" s="46">
        <v>22.289511937227459</v>
      </c>
    </row>
    <row r="279" spans="2:8">
      <c r="B279" s="46" t="s">
        <v>91</v>
      </c>
      <c r="C279" s="46" t="s">
        <v>584</v>
      </c>
      <c r="D279" s="46">
        <v>10</v>
      </c>
      <c r="E279" s="48">
        <v>33.111378562468197</v>
      </c>
      <c r="F279" s="46" t="s">
        <v>379</v>
      </c>
      <c r="G279" s="46" t="s">
        <v>236</v>
      </c>
      <c r="H279" s="46">
        <v>16.888621437531803</v>
      </c>
    </row>
    <row r="280" spans="2:8">
      <c r="B280" s="46" t="s">
        <v>96</v>
      </c>
      <c r="C280" s="46" t="s">
        <v>584</v>
      </c>
      <c r="D280" s="46">
        <v>11</v>
      </c>
      <c r="E280" s="48">
        <v>28.789857535321044</v>
      </c>
      <c r="F280" s="46" t="s">
        <v>380</v>
      </c>
      <c r="G280" s="46" t="s">
        <v>236</v>
      </c>
      <c r="H280" s="46">
        <v>21.210142464678956</v>
      </c>
    </row>
    <row r="281" spans="2:8">
      <c r="B281" s="46" t="s">
        <v>101</v>
      </c>
      <c r="C281" s="46" t="s">
        <v>584</v>
      </c>
      <c r="D281" s="46">
        <v>12</v>
      </c>
      <c r="E281" s="48">
        <v>25.403475698517035</v>
      </c>
      <c r="F281" s="46" t="s">
        <v>381</v>
      </c>
      <c r="G281" s="46" t="s">
        <v>236</v>
      </c>
      <c r="H281" s="46">
        <v>24.596524301482965</v>
      </c>
    </row>
    <row r="282" spans="2:8">
      <c r="B282" s="46" t="s">
        <v>106</v>
      </c>
      <c r="C282" s="46" t="s">
        <v>584</v>
      </c>
      <c r="D282" s="46">
        <v>13</v>
      </c>
      <c r="E282" s="48">
        <v>1.4889005915968949</v>
      </c>
      <c r="F282" s="46" t="s">
        <v>382</v>
      </c>
      <c r="G282" s="46" t="s">
        <v>236</v>
      </c>
      <c r="H282" s="46">
        <v>48.511099408403105</v>
      </c>
    </row>
    <row r="283" spans="2:8">
      <c r="B283" s="46" t="s">
        <v>111</v>
      </c>
      <c r="C283" s="46" t="s">
        <v>584</v>
      </c>
      <c r="D283" s="46">
        <v>14</v>
      </c>
      <c r="E283" s="48">
        <v>0.49709592983650763</v>
      </c>
      <c r="F283" s="46" t="s">
        <v>383</v>
      </c>
      <c r="G283" s="46" t="s">
        <v>236</v>
      </c>
      <c r="H283" s="46">
        <v>49.502904070163495</v>
      </c>
    </row>
    <row r="284" spans="2:8">
      <c r="B284" s="46" t="s">
        <v>116</v>
      </c>
      <c r="C284" s="46" t="s">
        <v>584</v>
      </c>
      <c r="D284" s="46">
        <v>15</v>
      </c>
      <c r="E284" s="48">
        <v>12.889183489981406</v>
      </c>
      <c r="F284" s="46" t="s">
        <v>384</v>
      </c>
      <c r="G284" s="46" t="s">
        <v>236</v>
      </c>
      <c r="H284" s="46">
        <v>37.110816510018594</v>
      </c>
    </row>
    <row r="285" spans="2:8">
      <c r="B285" s="46" t="s">
        <v>121</v>
      </c>
      <c r="C285" s="46" t="s">
        <v>584</v>
      </c>
      <c r="D285" s="46">
        <v>16</v>
      </c>
      <c r="E285" s="48">
        <v>14.233739956668394</v>
      </c>
      <c r="F285" s="46" t="s">
        <v>385</v>
      </c>
      <c r="G285" s="46" t="s">
        <v>236</v>
      </c>
      <c r="H285" s="46">
        <v>35.766260043331606</v>
      </c>
    </row>
    <row r="286" spans="2:8">
      <c r="B286" s="46" t="s">
        <v>126</v>
      </c>
      <c r="C286" s="46" t="s">
        <v>584</v>
      </c>
      <c r="D286" s="46">
        <v>17</v>
      </c>
      <c r="E286" s="48">
        <v>16.434579273024656</v>
      </c>
      <c r="F286" s="46" t="s">
        <v>386</v>
      </c>
      <c r="G286" s="46" t="s">
        <v>236</v>
      </c>
      <c r="H286" s="46">
        <v>33.565420726975347</v>
      </c>
    </row>
    <row r="287" spans="2:8">
      <c r="B287" s="46" t="s">
        <v>131</v>
      </c>
      <c r="C287" s="46" t="s">
        <v>584</v>
      </c>
      <c r="D287" s="46">
        <v>18</v>
      </c>
      <c r="E287" s="48">
        <v>16.432983259359865</v>
      </c>
      <c r="F287" s="46" t="s">
        <v>387</v>
      </c>
      <c r="G287" s="46" t="s">
        <v>236</v>
      </c>
      <c r="H287" s="46">
        <v>33.567016740640135</v>
      </c>
    </row>
    <row r="288" spans="2:8">
      <c r="B288" s="46" t="s">
        <v>136</v>
      </c>
      <c r="C288" s="46" t="s">
        <v>584</v>
      </c>
      <c r="D288" s="46">
        <v>19</v>
      </c>
      <c r="E288" s="48">
        <v>16.434579460561849</v>
      </c>
      <c r="F288" s="46" t="s">
        <v>388</v>
      </c>
      <c r="G288" s="46" t="s">
        <v>236</v>
      </c>
      <c r="H288" s="46">
        <v>33.565420539438151</v>
      </c>
    </row>
    <row r="289" spans="2:8">
      <c r="B289" s="46" t="s">
        <v>141</v>
      </c>
      <c r="C289" s="46" t="s">
        <v>584</v>
      </c>
      <c r="D289" s="46">
        <v>20</v>
      </c>
      <c r="E289" s="48">
        <v>8.2834839850973498</v>
      </c>
      <c r="F289" s="46" t="s">
        <v>389</v>
      </c>
      <c r="G289" s="46" t="s">
        <v>236</v>
      </c>
      <c r="H289" s="46">
        <v>41.716516014902652</v>
      </c>
    </row>
    <row r="290" spans="2:8">
      <c r="B290" s="46" t="s">
        <v>146</v>
      </c>
      <c r="C290" s="46" t="s">
        <v>584</v>
      </c>
      <c r="D290" s="46">
        <v>21</v>
      </c>
      <c r="E290" s="48">
        <v>5.3717063530817359</v>
      </c>
      <c r="F290" s="46" t="s">
        <v>390</v>
      </c>
      <c r="G290" s="46" t="s">
        <v>236</v>
      </c>
      <c r="H290" s="46">
        <v>44.628293646918266</v>
      </c>
    </row>
    <row r="291" spans="2:8">
      <c r="B291" s="46" t="s">
        <v>151</v>
      </c>
      <c r="C291" s="46" t="s">
        <v>584</v>
      </c>
      <c r="D291" s="46">
        <v>22</v>
      </c>
      <c r="E291" s="48">
        <v>10.737378411699085</v>
      </c>
      <c r="F291" s="46" t="s">
        <v>391</v>
      </c>
      <c r="G291" s="46" t="s">
        <v>236</v>
      </c>
      <c r="H291" s="46">
        <v>39.262621588300917</v>
      </c>
    </row>
    <row r="292" spans="2:8">
      <c r="B292" s="46" t="s">
        <v>156</v>
      </c>
      <c r="C292" s="46" t="s">
        <v>584</v>
      </c>
      <c r="D292" s="46">
        <v>23</v>
      </c>
      <c r="E292" s="48">
        <v>11.879568393210825</v>
      </c>
      <c r="F292" s="46" t="s">
        <v>392</v>
      </c>
      <c r="G292" s="46" t="s">
        <v>236</v>
      </c>
      <c r="H292" s="46">
        <v>38.120431606789175</v>
      </c>
    </row>
    <row r="293" spans="2:8">
      <c r="B293" s="46" t="s">
        <v>161</v>
      </c>
      <c r="C293" s="46" t="s">
        <v>584</v>
      </c>
      <c r="D293" s="46">
        <v>24</v>
      </c>
      <c r="E293" s="48">
        <v>16.433941848291415</v>
      </c>
      <c r="F293" s="46" t="s">
        <v>393</v>
      </c>
      <c r="G293" s="46" t="s">
        <v>236</v>
      </c>
      <c r="H293" s="46">
        <v>33.566058151708589</v>
      </c>
    </row>
    <row r="294" spans="2:8">
      <c r="B294" s="46" t="s">
        <v>166</v>
      </c>
      <c r="C294" s="46" t="s">
        <v>584</v>
      </c>
      <c r="D294" s="46">
        <v>25</v>
      </c>
      <c r="E294" s="48">
        <v>16.43458046237367</v>
      </c>
      <c r="F294" s="46" t="s">
        <v>394</v>
      </c>
      <c r="G294" s="46" t="s">
        <v>236</v>
      </c>
      <c r="H294" s="46">
        <v>33.565419537626326</v>
      </c>
    </row>
    <row r="295" spans="2:8">
      <c r="B295" s="46" t="s">
        <v>171</v>
      </c>
      <c r="C295" s="46" t="s">
        <v>584</v>
      </c>
      <c r="D295" s="46">
        <v>26</v>
      </c>
      <c r="E295" s="48">
        <v>16.434261655697512</v>
      </c>
      <c r="F295" s="46" t="s">
        <v>395</v>
      </c>
      <c r="G295" s="46" t="s">
        <v>236</v>
      </c>
      <c r="H295" s="46">
        <v>33.565738344302488</v>
      </c>
    </row>
    <row r="296" spans="2:8">
      <c r="B296" s="46" t="s">
        <v>176</v>
      </c>
      <c r="C296" s="46" t="s">
        <v>584</v>
      </c>
      <c r="D296" s="46">
        <v>27</v>
      </c>
      <c r="E296" s="48">
        <v>16.394234460503156</v>
      </c>
      <c r="F296" s="46" t="s">
        <v>396</v>
      </c>
      <c r="G296" s="46" t="s">
        <v>236</v>
      </c>
      <c r="H296" s="46">
        <v>33.605765539496844</v>
      </c>
    </row>
    <row r="297" spans="2:8">
      <c r="B297" s="46" t="s">
        <v>181</v>
      </c>
      <c r="C297" s="46" t="s">
        <v>584</v>
      </c>
      <c r="D297" s="46">
        <v>28</v>
      </c>
      <c r="E297" s="48">
        <v>5.2953634051258112</v>
      </c>
      <c r="F297" s="46" t="s">
        <v>397</v>
      </c>
      <c r="G297" s="46" t="s">
        <v>236</v>
      </c>
      <c r="H297" s="46">
        <v>44.704636594874188</v>
      </c>
    </row>
    <row r="298" spans="2:8">
      <c r="B298" s="46" t="s">
        <v>186</v>
      </c>
      <c r="C298" s="46" t="s">
        <v>584</v>
      </c>
      <c r="D298" s="46">
        <v>29</v>
      </c>
      <c r="E298" s="48">
        <v>13.332675423934678</v>
      </c>
      <c r="F298" s="46" t="s">
        <v>398</v>
      </c>
      <c r="G298" s="46" t="s">
        <v>236</v>
      </c>
      <c r="H298" s="46">
        <v>36.667324576065326</v>
      </c>
    </row>
    <row r="299" spans="2:8">
      <c r="B299" s="46" t="s">
        <v>191</v>
      </c>
      <c r="C299" s="46" t="s">
        <v>584</v>
      </c>
      <c r="D299" s="46">
        <v>30</v>
      </c>
      <c r="E299" s="48">
        <v>14.638161037317323</v>
      </c>
      <c r="F299" s="46" t="s">
        <v>399</v>
      </c>
      <c r="G299" s="46" t="s">
        <v>236</v>
      </c>
      <c r="H299" s="46">
        <v>35.361838962682675</v>
      </c>
    </row>
    <row r="300" spans="2:8">
      <c r="B300" s="46" t="s">
        <v>196</v>
      </c>
      <c r="C300" s="46" t="s">
        <v>584</v>
      </c>
      <c r="D300" s="46">
        <v>31</v>
      </c>
      <c r="E300" s="48">
        <v>16.434899424082076</v>
      </c>
      <c r="F300" s="46" t="s">
        <v>400</v>
      </c>
      <c r="G300" s="46" t="s">
        <v>236</v>
      </c>
      <c r="H300" s="46">
        <v>33.565100575917924</v>
      </c>
    </row>
    <row r="301" spans="2:8">
      <c r="B301" s="46" t="s">
        <v>45</v>
      </c>
      <c r="C301" s="46" t="s">
        <v>583</v>
      </c>
      <c r="D301" s="46">
        <v>1</v>
      </c>
      <c r="E301" s="48">
        <v>0</v>
      </c>
      <c r="F301" s="46" t="s">
        <v>401</v>
      </c>
      <c r="G301" s="46" t="s">
        <v>236</v>
      </c>
      <c r="H301" s="46">
        <v>12</v>
      </c>
    </row>
    <row r="302" spans="2:8">
      <c r="B302" s="46" t="s">
        <v>50</v>
      </c>
      <c r="C302" s="46" t="s">
        <v>583</v>
      </c>
      <c r="D302" s="46">
        <v>2</v>
      </c>
      <c r="E302" s="48">
        <v>0</v>
      </c>
      <c r="F302" s="46" t="s">
        <v>402</v>
      </c>
      <c r="G302" s="46" t="s">
        <v>236</v>
      </c>
      <c r="H302" s="46">
        <v>12</v>
      </c>
    </row>
    <row r="303" spans="2:8">
      <c r="B303" s="46" t="s">
        <v>55</v>
      </c>
      <c r="C303" s="46" t="s">
        <v>583</v>
      </c>
      <c r="D303" s="46">
        <v>3</v>
      </c>
      <c r="E303" s="48">
        <v>-9.9999999999988987E-4</v>
      </c>
      <c r="F303" s="46" t="s">
        <v>403</v>
      </c>
      <c r="G303" s="46" t="s">
        <v>236</v>
      </c>
      <c r="H303" s="46">
        <v>12.000999999999999</v>
      </c>
    </row>
    <row r="304" spans="2:8">
      <c r="B304" s="46" t="s">
        <v>60</v>
      </c>
      <c r="C304" s="46" t="s">
        <v>583</v>
      </c>
      <c r="D304" s="46">
        <v>4</v>
      </c>
      <c r="E304" s="48">
        <v>12</v>
      </c>
      <c r="F304" s="46" t="s">
        <v>404</v>
      </c>
      <c r="G304" s="46" t="s">
        <v>241</v>
      </c>
      <c r="H304" s="46">
        <v>0</v>
      </c>
    </row>
    <row r="305" spans="2:8">
      <c r="B305" s="46" t="s">
        <v>65</v>
      </c>
      <c r="C305" s="46" t="s">
        <v>583</v>
      </c>
      <c r="D305" s="46">
        <v>5</v>
      </c>
      <c r="E305" s="48">
        <v>12</v>
      </c>
      <c r="F305" s="46" t="s">
        <v>405</v>
      </c>
      <c r="G305" s="46" t="s">
        <v>241</v>
      </c>
      <c r="H305" s="46">
        <v>0</v>
      </c>
    </row>
    <row r="306" spans="2:8">
      <c r="B306" s="46" t="s">
        <v>70</v>
      </c>
      <c r="C306" s="46" t="s">
        <v>583</v>
      </c>
      <c r="D306" s="46">
        <v>6</v>
      </c>
      <c r="E306" s="48">
        <v>12</v>
      </c>
      <c r="F306" s="46" t="s">
        <v>406</v>
      </c>
      <c r="G306" s="46" t="s">
        <v>241</v>
      </c>
      <c r="H306" s="46">
        <v>0</v>
      </c>
    </row>
    <row r="307" spans="2:8">
      <c r="B307" s="46" t="s">
        <v>75</v>
      </c>
      <c r="C307" s="46" t="s">
        <v>583</v>
      </c>
      <c r="D307" s="46">
        <v>7</v>
      </c>
      <c r="E307" s="48">
        <v>12.000999999999999</v>
      </c>
      <c r="F307" s="46" t="s">
        <v>407</v>
      </c>
      <c r="G307" s="46" t="s">
        <v>241</v>
      </c>
      <c r="H307" s="46">
        <v>0</v>
      </c>
    </row>
    <row r="308" spans="2:8">
      <c r="B308" s="46" t="s">
        <v>80</v>
      </c>
      <c r="C308" s="46" t="s">
        <v>583</v>
      </c>
      <c r="D308" s="46">
        <v>8</v>
      </c>
      <c r="E308" s="48">
        <v>0</v>
      </c>
      <c r="F308" s="46" t="s">
        <v>408</v>
      </c>
      <c r="G308" s="46" t="s">
        <v>236</v>
      </c>
      <c r="H308" s="46">
        <v>12</v>
      </c>
    </row>
    <row r="309" spans="2:8">
      <c r="B309" s="46" t="s">
        <v>85</v>
      </c>
      <c r="C309" s="46" t="s">
        <v>583</v>
      </c>
      <c r="D309" s="46">
        <v>9</v>
      </c>
      <c r="E309" s="48">
        <v>10.001469279946001</v>
      </c>
      <c r="F309" s="46" t="s">
        <v>409</v>
      </c>
      <c r="G309" s="46" t="s">
        <v>236</v>
      </c>
      <c r="H309" s="46">
        <v>1.9985307200539992</v>
      </c>
    </row>
    <row r="310" spans="2:8">
      <c r="B310" s="46" t="s">
        <v>90</v>
      </c>
      <c r="C310" s="46" t="s">
        <v>583</v>
      </c>
      <c r="D310" s="46">
        <v>10</v>
      </c>
      <c r="E310" s="48">
        <v>12</v>
      </c>
      <c r="F310" s="46" t="s">
        <v>410</v>
      </c>
      <c r="G310" s="46" t="s">
        <v>241</v>
      </c>
      <c r="H310" s="46">
        <v>0</v>
      </c>
    </row>
    <row r="311" spans="2:8">
      <c r="B311" s="46" t="s">
        <v>95</v>
      </c>
      <c r="C311" s="46" t="s">
        <v>583</v>
      </c>
      <c r="D311" s="46">
        <v>11</v>
      </c>
      <c r="E311" s="48">
        <v>12</v>
      </c>
      <c r="F311" s="46" t="s">
        <v>411</v>
      </c>
      <c r="G311" s="46" t="s">
        <v>241</v>
      </c>
      <c r="H311" s="46">
        <v>0</v>
      </c>
    </row>
    <row r="312" spans="2:8">
      <c r="B312" s="46" t="s">
        <v>100</v>
      </c>
      <c r="C312" s="46" t="s">
        <v>583</v>
      </c>
      <c r="D312" s="46">
        <v>12</v>
      </c>
      <c r="E312" s="48">
        <v>12</v>
      </c>
      <c r="F312" s="46" t="s">
        <v>412</v>
      </c>
      <c r="G312" s="46" t="s">
        <v>241</v>
      </c>
      <c r="H312" s="46">
        <v>0</v>
      </c>
    </row>
    <row r="313" spans="2:8">
      <c r="B313" s="46" t="s">
        <v>105</v>
      </c>
      <c r="C313" s="46" t="s">
        <v>583</v>
      </c>
      <c r="D313" s="46">
        <v>13</v>
      </c>
      <c r="E313" s="48">
        <v>0</v>
      </c>
      <c r="F313" s="46" t="s">
        <v>413</v>
      </c>
      <c r="G313" s="46" t="s">
        <v>236</v>
      </c>
      <c r="H313" s="46">
        <v>12</v>
      </c>
    </row>
    <row r="314" spans="2:8">
      <c r="B314" s="46" t="s">
        <v>110</v>
      </c>
      <c r="C314" s="46" t="s">
        <v>583</v>
      </c>
      <c r="D314" s="46">
        <v>14</v>
      </c>
      <c r="E314" s="48">
        <v>12.000999999999999</v>
      </c>
      <c r="F314" s="46" t="s">
        <v>414</v>
      </c>
      <c r="G314" s="46" t="s">
        <v>241</v>
      </c>
      <c r="H314" s="46">
        <v>0</v>
      </c>
    </row>
    <row r="315" spans="2:8">
      <c r="B315" s="46" t="s">
        <v>115</v>
      </c>
      <c r="C315" s="46" t="s">
        <v>583</v>
      </c>
      <c r="D315" s="46">
        <v>15</v>
      </c>
      <c r="E315" s="48">
        <v>11.999680722147493</v>
      </c>
      <c r="F315" s="46" t="s">
        <v>415</v>
      </c>
      <c r="G315" s="46" t="s">
        <v>241</v>
      </c>
      <c r="H315" s="46">
        <v>0</v>
      </c>
    </row>
    <row r="316" spans="2:8">
      <c r="B316" s="46" t="s">
        <v>120</v>
      </c>
      <c r="C316" s="46" t="s">
        <v>583</v>
      </c>
      <c r="D316" s="46">
        <v>16</v>
      </c>
      <c r="E316" s="48">
        <v>12</v>
      </c>
      <c r="F316" s="46" t="s">
        <v>416</v>
      </c>
      <c r="G316" s="46" t="s">
        <v>241</v>
      </c>
      <c r="H316" s="46">
        <v>0</v>
      </c>
    </row>
    <row r="317" spans="2:8">
      <c r="B317" s="46" t="s">
        <v>125</v>
      </c>
      <c r="C317" s="46" t="s">
        <v>583</v>
      </c>
      <c r="D317" s="46">
        <v>17</v>
      </c>
      <c r="E317" s="48">
        <v>11.99904236977218</v>
      </c>
      <c r="F317" s="46" t="s">
        <v>417</v>
      </c>
      <c r="G317" s="46" t="s">
        <v>241</v>
      </c>
      <c r="H317" s="46">
        <v>0</v>
      </c>
    </row>
    <row r="318" spans="2:8">
      <c r="B318" s="46" t="s">
        <v>130</v>
      </c>
      <c r="C318" s="46" t="s">
        <v>583</v>
      </c>
      <c r="D318" s="46">
        <v>18</v>
      </c>
      <c r="E318" s="48">
        <v>12</v>
      </c>
      <c r="F318" s="46" t="s">
        <v>418</v>
      </c>
      <c r="G318" s="46" t="s">
        <v>241</v>
      </c>
      <c r="H318" s="46">
        <v>0</v>
      </c>
    </row>
    <row r="319" spans="2:8">
      <c r="B319" s="46" t="s">
        <v>135</v>
      </c>
      <c r="C319" s="46" t="s">
        <v>583</v>
      </c>
      <c r="D319" s="46">
        <v>19</v>
      </c>
      <c r="E319" s="48">
        <v>11.999361512071546</v>
      </c>
      <c r="F319" s="46" t="s">
        <v>419</v>
      </c>
      <c r="G319" s="46" t="s">
        <v>241</v>
      </c>
      <c r="H319" s="46">
        <v>0</v>
      </c>
    </row>
    <row r="320" spans="2:8">
      <c r="B320" s="46" t="s">
        <v>140</v>
      </c>
      <c r="C320" s="46" t="s">
        <v>583</v>
      </c>
      <c r="D320" s="46">
        <v>20</v>
      </c>
      <c r="E320" s="48">
        <v>12</v>
      </c>
      <c r="F320" s="46" t="s">
        <v>420</v>
      </c>
      <c r="G320" s="46" t="s">
        <v>241</v>
      </c>
      <c r="H320" s="46">
        <v>0</v>
      </c>
    </row>
    <row r="321" spans="2:8">
      <c r="B321" s="46" t="s">
        <v>145</v>
      </c>
      <c r="C321" s="46" t="s">
        <v>583</v>
      </c>
      <c r="D321" s="46">
        <v>21</v>
      </c>
      <c r="E321" s="48">
        <v>12.000999999999999</v>
      </c>
      <c r="F321" s="46" t="s">
        <v>421</v>
      </c>
      <c r="G321" s="46" t="s">
        <v>241</v>
      </c>
      <c r="H321" s="46">
        <v>0</v>
      </c>
    </row>
    <row r="322" spans="2:8">
      <c r="B322" s="46" t="s">
        <v>150</v>
      </c>
      <c r="C322" s="46" t="s">
        <v>583</v>
      </c>
      <c r="D322" s="46">
        <v>22</v>
      </c>
      <c r="E322" s="48">
        <v>11.999680722147493</v>
      </c>
      <c r="F322" s="46" t="s">
        <v>422</v>
      </c>
      <c r="G322" s="46" t="s">
        <v>241</v>
      </c>
      <c r="H322" s="46">
        <v>0</v>
      </c>
    </row>
    <row r="323" spans="2:8">
      <c r="B323" s="46" t="s">
        <v>155</v>
      </c>
      <c r="C323" s="46" t="s">
        <v>583</v>
      </c>
      <c r="D323" s="46">
        <v>23</v>
      </c>
      <c r="E323" s="48">
        <v>11.999680789924064</v>
      </c>
      <c r="F323" s="46" t="s">
        <v>423</v>
      </c>
      <c r="G323" s="46" t="s">
        <v>241</v>
      </c>
      <c r="H323" s="46">
        <v>0</v>
      </c>
    </row>
    <row r="324" spans="2:8">
      <c r="B324" s="46" t="s">
        <v>160</v>
      </c>
      <c r="C324" s="46" t="s">
        <v>583</v>
      </c>
      <c r="D324" s="46">
        <v>24</v>
      </c>
      <c r="E324" s="48">
        <v>11.999361512071543</v>
      </c>
      <c r="F324" s="46" t="s">
        <v>424</v>
      </c>
      <c r="G324" s="46" t="s">
        <v>241</v>
      </c>
      <c r="H324" s="46">
        <v>0</v>
      </c>
    </row>
    <row r="325" spans="2:8">
      <c r="B325" s="46" t="s">
        <v>165</v>
      </c>
      <c r="C325" s="46" t="s">
        <v>583</v>
      </c>
      <c r="D325" s="46">
        <v>25</v>
      </c>
      <c r="E325" s="48">
        <v>11.99904236977218</v>
      </c>
      <c r="F325" s="46" t="s">
        <v>425</v>
      </c>
      <c r="G325" s="46" t="s">
        <v>241</v>
      </c>
      <c r="H325" s="46">
        <v>0</v>
      </c>
    </row>
    <row r="326" spans="2:8">
      <c r="B326" s="46" t="s">
        <v>170</v>
      </c>
      <c r="C326" s="46" t="s">
        <v>583</v>
      </c>
      <c r="D326" s="46">
        <v>26</v>
      </c>
      <c r="E326" s="48">
        <v>11.999680722147492</v>
      </c>
      <c r="F326" s="46" t="s">
        <v>426</v>
      </c>
      <c r="G326" s="46" t="s">
        <v>241</v>
      </c>
      <c r="H326" s="46">
        <v>0</v>
      </c>
    </row>
    <row r="327" spans="2:8">
      <c r="B327" s="46" t="s">
        <v>175</v>
      </c>
      <c r="C327" s="46" t="s">
        <v>583</v>
      </c>
      <c r="D327" s="46">
        <v>27</v>
      </c>
      <c r="E327" s="48">
        <v>12</v>
      </c>
      <c r="F327" s="46" t="s">
        <v>427</v>
      </c>
      <c r="G327" s="46" t="s">
        <v>241</v>
      </c>
      <c r="H327" s="46">
        <v>0</v>
      </c>
    </row>
    <row r="328" spans="2:8">
      <c r="B328" s="46" t="s">
        <v>180</v>
      </c>
      <c r="C328" s="46" t="s">
        <v>583</v>
      </c>
      <c r="D328" s="46">
        <v>28</v>
      </c>
      <c r="E328" s="48">
        <v>12</v>
      </c>
      <c r="F328" s="46" t="s">
        <v>428</v>
      </c>
      <c r="G328" s="46" t="s">
        <v>241</v>
      </c>
      <c r="H328" s="46">
        <v>0</v>
      </c>
    </row>
    <row r="329" spans="2:8">
      <c r="B329" s="46" t="s">
        <v>185</v>
      </c>
      <c r="C329" s="46" t="s">
        <v>583</v>
      </c>
      <c r="D329" s="46">
        <v>29</v>
      </c>
      <c r="E329" s="48">
        <v>12.000999999999999</v>
      </c>
      <c r="F329" s="46" t="s">
        <v>429</v>
      </c>
      <c r="G329" s="46" t="s">
        <v>241</v>
      </c>
      <c r="H329" s="46">
        <v>0</v>
      </c>
    </row>
    <row r="330" spans="2:8">
      <c r="B330" s="46" t="s">
        <v>190</v>
      </c>
      <c r="C330" s="46" t="s">
        <v>583</v>
      </c>
      <c r="D330" s="46">
        <v>30</v>
      </c>
      <c r="E330" s="48">
        <v>12</v>
      </c>
      <c r="F330" s="46" t="s">
        <v>430</v>
      </c>
      <c r="G330" s="46" t="s">
        <v>241</v>
      </c>
      <c r="H330" s="46">
        <v>0</v>
      </c>
    </row>
    <row r="331" spans="2:8">
      <c r="B331" s="46" t="s">
        <v>195</v>
      </c>
      <c r="C331" s="46" t="s">
        <v>583</v>
      </c>
      <c r="D331" s="46">
        <v>31</v>
      </c>
      <c r="E331" s="48">
        <v>12</v>
      </c>
      <c r="F331" s="46" t="s">
        <v>431</v>
      </c>
      <c r="G331" s="46" t="s">
        <v>241</v>
      </c>
      <c r="H331" s="46">
        <v>0</v>
      </c>
    </row>
    <row r="332" spans="2:8">
      <c r="B332" s="46" t="s">
        <v>44</v>
      </c>
      <c r="C332" s="46" t="s">
        <v>586</v>
      </c>
      <c r="D332" s="46">
        <v>1</v>
      </c>
      <c r="E332" s="48">
        <v>44.425679999999993</v>
      </c>
      <c r="F332" s="46" t="s">
        <v>432</v>
      </c>
      <c r="G332" s="46" t="s">
        <v>241</v>
      </c>
      <c r="H332" s="46">
        <v>0</v>
      </c>
    </row>
    <row r="333" spans="2:8">
      <c r="B333" s="46" t="s">
        <v>49</v>
      </c>
      <c r="C333" s="46" t="s">
        <v>586</v>
      </c>
      <c r="D333" s="46">
        <v>2</v>
      </c>
      <c r="E333" s="48">
        <v>44.425679999999993</v>
      </c>
      <c r="F333" s="46" t="s">
        <v>433</v>
      </c>
      <c r="G333" s="46" t="s">
        <v>241</v>
      </c>
      <c r="H333" s="46">
        <v>0</v>
      </c>
    </row>
    <row r="334" spans="2:8">
      <c r="B334" s="46" t="s">
        <v>54</v>
      </c>
      <c r="C334" s="46" t="s">
        <v>586</v>
      </c>
      <c r="D334" s="46">
        <v>3</v>
      </c>
      <c r="E334" s="48">
        <v>44.425679999999993</v>
      </c>
      <c r="F334" s="46" t="s">
        <v>434</v>
      </c>
      <c r="G334" s="46" t="s">
        <v>241</v>
      </c>
      <c r="H334" s="46">
        <v>0</v>
      </c>
    </row>
    <row r="335" spans="2:8">
      <c r="B335" s="46" t="s">
        <v>59</v>
      </c>
      <c r="C335" s="46" t="s">
        <v>586</v>
      </c>
      <c r="D335" s="46">
        <v>4</v>
      </c>
      <c r="E335" s="48">
        <v>44.425679999999993</v>
      </c>
      <c r="F335" s="46" t="s">
        <v>435</v>
      </c>
      <c r="G335" s="46" t="s">
        <v>241</v>
      </c>
      <c r="H335" s="46">
        <v>0</v>
      </c>
    </row>
    <row r="336" spans="2:8">
      <c r="B336" s="46" t="s">
        <v>64</v>
      </c>
      <c r="C336" s="46" t="s">
        <v>586</v>
      </c>
      <c r="D336" s="46">
        <v>5</v>
      </c>
      <c r="E336" s="48">
        <v>44.425679999999993</v>
      </c>
      <c r="F336" s="46" t="s">
        <v>436</v>
      </c>
      <c r="G336" s="46" t="s">
        <v>241</v>
      </c>
      <c r="H336" s="46">
        <v>0</v>
      </c>
    </row>
    <row r="337" spans="2:8">
      <c r="B337" s="46" t="s">
        <v>69</v>
      </c>
      <c r="C337" s="46" t="s">
        <v>586</v>
      </c>
      <c r="D337" s="46">
        <v>6</v>
      </c>
      <c r="E337" s="48">
        <v>44.425679999999993</v>
      </c>
      <c r="F337" s="46" t="s">
        <v>437</v>
      </c>
      <c r="G337" s="46" t="s">
        <v>241</v>
      </c>
      <c r="H337" s="46">
        <v>0</v>
      </c>
    </row>
    <row r="338" spans="2:8">
      <c r="B338" s="46" t="s">
        <v>74</v>
      </c>
      <c r="C338" s="46" t="s">
        <v>586</v>
      </c>
      <c r="D338" s="46">
        <v>7</v>
      </c>
      <c r="E338" s="48">
        <v>44.42568</v>
      </c>
      <c r="F338" s="46" t="s">
        <v>438</v>
      </c>
      <c r="G338" s="46" t="s">
        <v>241</v>
      </c>
      <c r="H338" s="46">
        <v>0</v>
      </c>
    </row>
    <row r="339" spans="2:8">
      <c r="B339" s="46" t="s">
        <v>79</v>
      </c>
      <c r="C339" s="46" t="s">
        <v>586</v>
      </c>
      <c r="D339" s="46">
        <v>8</v>
      </c>
      <c r="E339" s="48">
        <v>44.42568</v>
      </c>
      <c r="F339" s="46" t="s">
        <v>439</v>
      </c>
      <c r="G339" s="46" t="s">
        <v>241</v>
      </c>
      <c r="H339" s="46">
        <v>0</v>
      </c>
    </row>
    <row r="340" spans="2:8">
      <c r="B340" s="46" t="s">
        <v>84</v>
      </c>
      <c r="C340" s="46" t="s">
        <v>586</v>
      </c>
      <c r="D340" s="46">
        <v>9</v>
      </c>
      <c r="E340" s="48">
        <v>44.42568</v>
      </c>
      <c r="F340" s="46" t="s">
        <v>440</v>
      </c>
      <c r="G340" s="46" t="s">
        <v>241</v>
      </c>
      <c r="H340" s="46">
        <v>0</v>
      </c>
    </row>
    <row r="341" spans="2:8">
      <c r="B341" s="46" t="s">
        <v>89</v>
      </c>
      <c r="C341" s="46" t="s">
        <v>586</v>
      </c>
      <c r="D341" s="46">
        <v>10</v>
      </c>
      <c r="E341" s="48">
        <v>44.42568</v>
      </c>
      <c r="F341" s="46" t="s">
        <v>441</v>
      </c>
      <c r="G341" s="46" t="s">
        <v>241</v>
      </c>
      <c r="H341" s="46">
        <v>0</v>
      </c>
    </row>
    <row r="342" spans="2:8">
      <c r="B342" s="46" t="s">
        <v>94</v>
      </c>
      <c r="C342" s="46" t="s">
        <v>586</v>
      </c>
      <c r="D342" s="46">
        <v>11</v>
      </c>
      <c r="E342" s="48">
        <v>44.42568</v>
      </c>
      <c r="F342" s="46" t="s">
        <v>442</v>
      </c>
      <c r="G342" s="46" t="s">
        <v>241</v>
      </c>
      <c r="H342" s="46">
        <v>0</v>
      </c>
    </row>
    <row r="343" spans="2:8">
      <c r="B343" s="46" t="s">
        <v>99</v>
      </c>
      <c r="C343" s="46" t="s">
        <v>586</v>
      </c>
      <c r="D343" s="46">
        <v>12</v>
      </c>
      <c r="E343" s="48">
        <v>44.42568</v>
      </c>
      <c r="F343" s="46" t="s">
        <v>443</v>
      </c>
      <c r="G343" s="46" t="s">
        <v>241</v>
      </c>
      <c r="H343" s="46">
        <v>0</v>
      </c>
    </row>
    <row r="344" spans="2:8">
      <c r="B344" s="46" t="s">
        <v>104</v>
      </c>
      <c r="C344" s="46" t="s">
        <v>586</v>
      </c>
      <c r="D344" s="46">
        <v>13</v>
      </c>
      <c r="E344" s="48">
        <v>44.42568</v>
      </c>
      <c r="F344" s="46" t="s">
        <v>444</v>
      </c>
      <c r="G344" s="46" t="s">
        <v>241</v>
      </c>
      <c r="H344" s="46">
        <v>0</v>
      </c>
    </row>
    <row r="345" spans="2:8">
      <c r="B345" s="46" t="s">
        <v>109</v>
      </c>
      <c r="C345" s="46" t="s">
        <v>586</v>
      </c>
      <c r="D345" s="46">
        <v>14</v>
      </c>
      <c r="E345" s="48">
        <v>44.42568</v>
      </c>
      <c r="F345" s="46" t="s">
        <v>445</v>
      </c>
      <c r="G345" s="46" t="s">
        <v>241</v>
      </c>
      <c r="H345" s="46">
        <v>0</v>
      </c>
    </row>
    <row r="346" spans="2:8">
      <c r="B346" s="46" t="s">
        <v>114</v>
      </c>
      <c r="C346" s="46" t="s">
        <v>586</v>
      </c>
      <c r="D346" s="46">
        <v>15</v>
      </c>
      <c r="E346" s="48">
        <v>44.42568</v>
      </c>
      <c r="F346" s="46" t="s">
        <v>446</v>
      </c>
      <c r="G346" s="46" t="s">
        <v>241</v>
      </c>
      <c r="H346" s="46">
        <v>0</v>
      </c>
    </row>
    <row r="347" spans="2:8">
      <c r="B347" s="46" t="s">
        <v>119</v>
      </c>
      <c r="C347" s="46" t="s">
        <v>586</v>
      </c>
      <c r="D347" s="46">
        <v>16</v>
      </c>
      <c r="E347" s="48">
        <v>44.42568</v>
      </c>
      <c r="F347" s="46" t="s">
        <v>447</v>
      </c>
      <c r="G347" s="46" t="s">
        <v>241</v>
      </c>
      <c r="H347" s="46">
        <v>0</v>
      </c>
    </row>
    <row r="348" spans="2:8">
      <c r="B348" s="46" t="s">
        <v>124</v>
      </c>
      <c r="C348" s="46" t="s">
        <v>586</v>
      </c>
      <c r="D348" s="46">
        <v>17</v>
      </c>
      <c r="E348" s="48">
        <v>44.42568</v>
      </c>
      <c r="F348" s="46" t="s">
        <v>448</v>
      </c>
      <c r="G348" s="46" t="s">
        <v>241</v>
      </c>
      <c r="H348" s="46">
        <v>0</v>
      </c>
    </row>
    <row r="349" spans="2:8">
      <c r="B349" s="46" t="s">
        <v>129</v>
      </c>
      <c r="C349" s="46" t="s">
        <v>586</v>
      </c>
      <c r="D349" s="46">
        <v>18</v>
      </c>
      <c r="E349" s="48">
        <v>44.42568</v>
      </c>
      <c r="F349" s="46" t="s">
        <v>449</v>
      </c>
      <c r="G349" s="46" t="s">
        <v>241</v>
      </c>
      <c r="H349" s="46">
        <v>0</v>
      </c>
    </row>
    <row r="350" spans="2:8">
      <c r="B350" s="46" t="s">
        <v>134</v>
      </c>
      <c r="C350" s="46" t="s">
        <v>586</v>
      </c>
      <c r="D350" s="46">
        <v>19</v>
      </c>
      <c r="E350" s="48">
        <v>44.42568</v>
      </c>
      <c r="F350" s="46" t="s">
        <v>450</v>
      </c>
      <c r="G350" s="46" t="s">
        <v>241</v>
      </c>
      <c r="H350" s="46">
        <v>0</v>
      </c>
    </row>
    <row r="351" spans="2:8">
      <c r="B351" s="46" t="s">
        <v>139</v>
      </c>
      <c r="C351" s="46" t="s">
        <v>586</v>
      </c>
      <c r="D351" s="46">
        <v>20</v>
      </c>
      <c r="E351" s="48">
        <v>44.42568</v>
      </c>
      <c r="F351" s="46" t="s">
        <v>451</v>
      </c>
      <c r="G351" s="46" t="s">
        <v>241</v>
      </c>
      <c r="H351" s="46">
        <v>0</v>
      </c>
    </row>
    <row r="352" spans="2:8">
      <c r="B352" s="46" t="s">
        <v>144</v>
      </c>
      <c r="C352" s="46" t="s">
        <v>586</v>
      </c>
      <c r="D352" s="46">
        <v>21</v>
      </c>
      <c r="E352" s="48">
        <v>44.42568</v>
      </c>
      <c r="F352" s="46" t="s">
        <v>452</v>
      </c>
      <c r="G352" s="46" t="s">
        <v>241</v>
      </c>
      <c r="H352" s="46">
        <v>0</v>
      </c>
    </row>
    <row r="353" spans="2:8">
      <c r="B353" s="46" t="s">
        <v>149</v>
      </c>
      <c r="C353" s="46" t="s">
        <v>586</v>
      </c>
      <c r="D353" s="46">
        <v>22</v>
      </c>
      <c r="E353" s="48">
        <v>44.42568</v>
      </c>
      <c r="F353" s="46" t="s">
        <v>453</v>
      </c>
      <c r="G353" s="46" t="s">
        <v>241</v>
      </c>
      <c r="H353" s="46">
        <v>0</v>
      </c>
    </row>
    <row r="354" spans="2:8">
      <c r="B354" s="46" t="s">
        <v>154</v>
      </c>
      <c r="C354" s="46" t="s">
        <v>586</v>
      </c>
      <c r="D354" s="46">
        <v>23</v>
      </c>
      <c r="E354" s="48">
        <v>44.42568</v>
      </c>
      <c r="F354" s="46" t="s">
        <v>454</v>
      </c>
      <c r="G354" s="46" t="s">
        <v>241</v>
      </c>
      <c r="H354" s="46">
        <v>0</v>
      </c>
    </row>
    <row r="355" spans="2:8">
      <c r="B355" s="46" t="s">
        <v>159</v>
      </c>
      <c r="C355" s="46" t="s">
        <v>586</v>
      </c>
      <c r="D355" s="46">
        <v>24</v>
      </c>
      <c r="E355" s="48">
        <v>44.425679999999993</v>
      </c>
      <c r="F355" s="46" t="s">
        <v>455</v>
      </c>
      <c r="G355" s="46" t="s">
        <v>241</v>
      </c>
      <c r="H355" s="46">
        <v>0</v>
      </c>
    </row>
    <row r="356" spans="2:8">
      <c r="B356" s="46" t="s">
        <v>164</v>
      </c>
      <c r="C356" s="46" t="s">
        <v>586</v>
      </c>
      <c r="D356" s="46">
        <v>25</v>
      </c>
      <c r="E356" s="48">
        <v>44.425679999999964</v>
      </c>
      <c r="F356" s="46" t="s">
        <v>456</v>
      </c>
      <c r="G356" s="46" t="s">
        <v>241</v>
      </c>
      <c r="H356" s="46">
        <v>0</v>
      </c>
    </row>
    <row r="357" spans="2:8">
      <c r="B357" s="46" t="s">
        <v>169</v>
      </c>
      <c r="C357" s="46" t="s">
        <v>586</v>
      </c>
      <c r="D357" s="46">
        <v>26</v>
      </c>
      <c r="E357" s="48">
        <v>44.425679999999964</v>
      </c>
      <c r="F357" s="46" t="s">
        <v>457</v>
      </c>
      <c r="G357" s="46" t="s">
        <v>241</v>
      </c>
      <c r="H357" s="46">
        <v>0</v>
      </c>
    </row>
    <row r="358" spans="2:8">
      <c r="B358" s="46" t="s">
        <v>174</v>
      </c>
      <c r="C358" s="46" t="s">
        <v>586</v>
      </c>
      <c r="D358" s="46">
        <v>27</v>
      </c>
      <c r="E358" s="48">
        <v>44.425679999999971</v>
      </c>
      <c r="F358" s="46" t="s">
        <v>458</v>
      </c>
      <c r="G358" s="46" t="s">
        <v>241</v>
      </c>
      <c r="H358" s="46">
        <v>0</v>
      </c>
    </row>
    <row r="359" spans="2:8">
      <c r="B359" s="46" t="s">
        <v>179</v>
      </c>
      <c r="C359" s="46" t="s">
        <v>586</v>
      </c>
      <c r="D359" s="46">
        <v>28</v>
      </c>
      <c r="E359" s="48">
        <v>9.2553499999999982</v>
      </c>
      <c r="F359" s="46" t="s">
        <v>459</v>
      </c>
      <c r="G359" s="46" t="s">
        <v>241</v>
      </c>
      <c r="H359" s="46">
        <v>0</v>
      </c>
    </row>
    <row r="360" spans="2:8">
      <c r="B360" s="46" t="s">
        <v>184</v>
      </c>
      <c r="C360" s="46" t="s">
        <v>586</v>
      </c>
      <c r="D360" s="46">
        <v>29</v>
      </c>
      <c r="E360" s="48">
        <v>11.10642</v>
      </c>
      <c r="F360" s="46" t="s">
        <v>460</v>
      </c>
      <c r="G360" s="46" t="s">
        <v>241</v>
      </c>
      <c r="H360" s="46">
        <v>0</v>
      </c>
    </row>
    <row r="361" spans="2:8">
      <c r="B361" s="46" t="s">
        <v>189</v>
      </c>
      <c r="C361" s="46" t="s">
        <v>586</v>
      </c>
      <c r="D361" s="46">
        <v>30</v>
      </c>
      <c r="E361" s="48">
        <v>44.42568</v>
      </c>
      <c r="F361" s="46" t="s">
        <v>461</v>
      </c>
      <c r="G361" s="46" t="s">
        <v>241</v>
      </c>
      <c r="H361" s="46">
        <v>0</v>
      </c>
    </row>
    <row r="362" spans="2:8">
      <c r="B362" s="46" t="s">
        <v>194</v>
      </c>
      <c r="C362" s="46" t="s">
        <v>586</v>
      </c>
      <c r="D362" s="46">
        <v>31</v>
      </c>
      <c r="E362" s="48">
        <v>44.42568</v>
      </c>
      <c r="F362" s="46" t="s">
        <v>462</v>
      </c>
      <c r="G362" s="46" t="s">
        <v>241</v>
      </c>
      <c r="H362" s="46">
        <v>0</v>
      </c>
    </row>
    <row r="363" spans="2:8">
      <c r="B363" s="46" t="s">
        <v>47</v>
      </c>
      <c r="C363" s="46" t="s">
        <v>585</v>
      </c>
      <c r="D363" s="46">
        <v>1</v>
      </c>
      <c r="E363" s="48">
        <v>0</v>
      </c>
      <c r="F363" s="46" t="s">
        <v>463</v>
      </c>
      <c r="G363" s="46" t="s">
        <v>236</v>
      </c>
      <c r="H363" s="46">
        <v>12</v>
      </c>
    </row>
    <row r="364" spans="2:8">
      <c r="B364" s="46" t="s">
        <v>52</v>
      </c>
      <c r="C364" s="46" t="s">
        <v>585</v>
      </c>
      <c r="D364" s="46">
        <v>2</v>
      </c>
      <c r="E364" s="48">
        <v>0</v>
      </c>
      <c r="F364" s="46" t="s">
        <v>464</v>
      </c>
      <c r="G364" s="46" t="s">
        <v>236</v>
      </c>
      <c r="H364" s="46">
        <v>12</v>
      </c>
    </row>
    <row r="365" spans="2:8">
      <c r="B365" s="46" t="s">
        <v>57</v>
      </c>
      <c r="C365" s="46" t="s">
        <v>585</v>
      </c>
      <c r="D365" s="46">
        <v>3</v>
      </c>
      <c r="E365" s="48">
        <v>-9.9999999999944578E-4</v>
      </c>
      <c r="F365" s="46" t="s">
        <v>465</v>
      </c>
      <c r="G365" s="46" t="s">
        <v>236</v>
      </c>
      <c r="H365" s="46">
        <v>12.000999999999999</v>
      </c>
    </row>
    <row r="366" spans="2:8">
      <c r="B366" s="46" t="s">
        <v>62</v>
      </c>
      <c r="C366" s="46" t="s">
        <v>585</v>
      </c>
      <c r="D366" s="46">
        <v>4</v>
      </c>
      <c r="E366" s="48">
        <v>-9.9999999999944578E-4</v>
      </c>
      <c r="F366" s="46" t="s">
        <v>466</v>
      </c>
      <c r="G366" s="46" t="s">
        <v>236</v>
      </c>
      <c r="H366" s="46">
        <v>12.000999999999999</v>
      </c>
    </row>
    <row r="367" spans="2:8">
      <c r="B367" s="46" t="s">
        <v>67</v>
      </c>
      <c r="C367" s="46" t="s">
        <v>585</v>
      </c>
      <c r="D367" s="46">
        <v>5</v>
      </c>
      <c r="E367" s="48">
        <v>-9.9999999999988987E-4</v>
      </c>
      <c r="F367" s="46" t="s">
        <v>467</v>
      </c>
      <c r="G367" s="46" t="s">
        <v>236</v>
      </c>
      <c r="H367" s="46">
        <v>12.000999999999999</v>
      </c>
    </row>
    <row r="368" spans="2:8">
      <c r="B368" s="46" t="s">
        <v>72</v>
      </c>
      <c r="C368" s="46" t="s">
        <v>585</v>
      </c>
      <c r="D368" s="46">
        <v>6</v>
      </c>
      <c r="E368" s="48">
        <v>0</v>
      </c>
      <c r="F368" s="46" t="s">
        <v>468</v>
      </c>
      <c r="G368" s="46" t="s">
        <v>236</v>
      </c>
      <c r="H368" s="46">
        <v>12</v>
      </c>
    </row>
    <row r="369" spans="2:8">
      <c r="B369" s="46" t="s">
        <v>77</v>
      </c>
      <c r="C369" s="46" t="s">
        <v>585</v>
      </c>
      <c r="D369" s="46">
        <v>7</v>
      </c>
      <c r="E369" s="48">
        <v>0</v>
      </c>
      <c r="F369" s="46" t="s">
        <v>469</v>
      </c>
      <c r="G369" s="46" t="s">
        <v>236</v>
      </c>
      <c r="H369" s="46">
        <v>12</v>
      </c>
    </row>
    <row r="370" spans="2:8">
      <c r="B370" s="46" t="s">
        <v>82</v>
      </c>
      <c r="C370" s="46" t="s">
        <v>585</v>
      </c>
      <c r="D370" s="46">
        <v>8</v>
      </c>
      <c r="E370" s="48">
        <v>0.52162601961780442</v>
      </c>
      <c r="F370" s="46" t="s">
        <v>470</v>
      </c>
      <c r="G370" s="46" t="s">
        <v>236</v>
      </c>
      <c r="H370" s="46">
        <v>11.478373980382196</v>
      </c>
    </row>
    <row r="371" spans="2:8">
      <c r="B371" s="46" t="s">
        <v>87</v>
      </c>
      <c r="C371" s="46" t="s">
        <v>585</v>
      </c>
      <c r="D371" s="46">
        <v>9</v>
      </c>
      <c r="E371" s="48">
        <v>4.0372285384156346</v>
      </c>
      <c r="F371" s="46" t="s">
        <v>471</v>
      </c>
      <c r="G371" s="46" t="s">
        <v>236</v>
      </c>
      <c r="H371" s="46">
        <v>7.9627714615843654</v>
      </c>
    </row>
    <row r="372" spans="2:8">
      <c r="B372" s="46" t="s">
        <v>92</v>
      </c>
      <c r="C372" s="46" t="s">
        <v>585</v>
      </c>
      <c r="D372" s="46">
        <v>10</v>
      </c>
      <c r="E372" s="48">
        <v>0</v>
      </c>
      <c r="F372" s="46" t="s">
        <v>472</v>
      </c>
      <c r="G372" s="46" t="s">
        <v>236</v>
      </c>
      <c r="H372" s="46">
        <v>12</v>
      </c>
    </row>
    <row r="373" spans="2:8">
      <c r="B373" s="46" t="s">
        <v>97</v>
      </c>
      <c r="C373" s="46" t="s">
        <v>585</v>
      </c>
      <c r="D373" s="46">
        <v>11</v>
      </c>
      <c r="E373" s="48">
        <v>5.3378255457207731</v>
      </c>
      <c r="F373" s="46" t="s">
        <v>473</v>
      </c>
      <c r="G373" s="46" t="s">
        <v>236</v>
      </c>
      <c r="H373" s="46">
        <v>6.6621744542792269</v>
      </c>
    </row>
    <row r="374" spans="2:8">
      <c r="B374" s="46" t="s">
        <v>102</v>
      </c>
      <c r="C374" s="46" t="s">
        <v>585</v>
      </c>
      <c r="D374" s="46">
        <v>12</v>
      </c>
      <c r="E374" s="48">
        <v>5.3375058873689021</v>
      </c>
      <c r="F374" s="46" t="s">
        <v>474</v>
      </c>
      <c r="G374" s="46" t="s">
        <v>236</v>
      </c>
      <c r="H374" s="46">
        <v>6.6624941126310979</v>
      </c>
    </row>
    <row r="375" spans="2:8">
      <c r="B375" s="46" t="s">
        <v>107</v>
      </c>
      <c r="C375" s="46" t="s">
        <v>585</v>
      </c>
      <c r="D375" s="46">
        <v>13</v>
      </c>
      <c r="E375" s="48">
        <v>0</v>
      </c>
      <c r="F375" s="46" t="s">
        <v>475</v>
      </c>
      <c r="G375" s="46" t="s">
        <v>236</v>
      </c>
      <c r="H375" s="46">
        <v>12</v>
      </c>
    </row>
    <row r="376" spans="2:8">
      <c r="B376" s="46" t="s">
        <v>112</v>
      </c>
      <c r="C376" s="46" t="s">
        <v>585</v>
      </c>
      <c r="D376" s="46">
        <v>14</v>
      </c>
      <c r="E376" s="48">
        <v>2.5456233829813724</v>
      </c>
      <c r="F376" s="46" t="s">
        <v>476</v>
      </c>
      <c r="G376" s="46" t="s">
        <v>236</v>
      </c>
      <c r="H376" s="46">
        <v>9.4543766170186281</v>
      </c>
    </row>
    <row r="377" spans="2:8">
      <c r="B377" s="46" t="s">
        <v>117</v>
      </c>
      <c r="C377" s="46" t="s">
        <v>585</v>
      </c>
      <c r="D377" s="46">
        <v>15</v>
      </c>
      <c r="E377" s="48">
        <v>5.337824985431296</v>
      </c>
      <c r="F377" s="46" t="s">
        <v>477</v>
      </c>
      <c r="G377" s="46" t="s">
        <v>236</v>
      </c>
      <c r="H377" s="46">
        <v>6.662175014568704</v>
      </c>
    </row>
    <row r="378" spans="2:8">
      <c r="B378" s="46" t="s">
        <v>122</v>
      </c>
      <c r="C378" s="46" t="s">
        <v>585</v>
      </c>
      <c r="D378" s="46">
        <v>16</v>
      </c>
      <c r="E378" s="48">
        <v>5.3381455235013417</v>
      </c>
      <c r="F378" s="46" t="s">
        <v>478</v>
      </c>
      <c r="G378" s="46" t="s">
        <v>236</v>
      </c>
      <c r="H378" s="46">
        <v>6.6618544764986583</v>
      </c>
    </row>
    <row r="379" spans="2:8">
      <c r="B379" s="46" t="s">
        <v>127</v>
      </c>
      <c r="C379" s="46" t="s">
        <v>585</v>
      </c>
      <c r="D379" s="46">
        <v>17</v>
      </c>
      <c r="E379" s="48">
        <v>5.3384652754976205</v>
      </c>
      <c r="F379" s="46" t="s">
        <v>479</v>
      </c>
      <c r="G379" s="46" t="s">
        <v>236</v>
      </c>
      <c r="H379" s="46">
        <v>6.6615347245023795</v>
      </c>
    </row>
    <row r="380" spans="2:8">
      <c r="B380" s="46" t="s">
        <v>132</v>
      </c>
      <c r="C380" s="46" t="s">
        <v>585</v>
      </c>
      <c r="D380" s="46">
        <v>18</v>
      </c>
      <c r="E380" s="48">
        <v>5.3384652033091893</v>
      </c>
      <c r="F380" s="46" t="s">
        <v>480</v>
      </c>
      <c r="G380" s="46" t="s">
        <v>236</v>
      </c>
      <c r="H380" s="46">
        <v>6.6615347966908107</v>
      </c>
    </row>
    <row r="381" spans="2:8">
      <c r="B381" s="46" t="s">
        <v>137</v>
      </c>
      <c r="C381" s="46" t="s">
        <v>585</v>
      </c>
      <c r="D381" s="46">
        <v>19</v>
      </c>
      <c r="E381" s="48">
        <v>5.3378267396100263</v>
      </c>
      <c r="F381" s="46" t="s">
        <v>481</v>
      </c>
      <c r="G381" s="46" t="s">
        <v>236</v>
      </c>
      <c r="H381" s="46">
        <v>6.6621732603899737</v>
      </c>
    </row>
    <row r="382" spans="2:8">
      <c r="B382" s="46" t="s">
        <v>142</v>
      </c>
      <c r="C382" s="46" t="s">
        <v>585</v>
      </c>
      <c r="D382" s="46">
        <v>20</v>
      </c>
      <c r="E382" s="48">
        <v>5.2092048566069726</v>
      </c>
      <c r="F382" s="46" t="s">
        <v>482</v>
      </c>
      <c r="G382" s="46" t="s">
        <v>236</v>
      </c>
      <c r="H382" s="46">
        <v>6.7907951433930274</v>
      </c>
    </row>
    <row r="383" spans="2:8">
      <c r="B383" s="46" t="s">
        <v>147</v>
      </c>
      <c r="C383" s="46" t="s">
        <v>585</v>
      </c>
      <c r="D383" s="46">
        <v>21</v>
      </c>
      <c r="E383" s="48">
        <v>5.3197169434590874</v>
      </c>
      <c r="F383" s="46" t="s">
        <v>483</v>
      </c>
      <c r="G383" s="46" t="s">
        <v>236</v>
      </c>
      <c r="H383" s="46">
        <v>6.6802830565409126</v>
      </c>
    </row>
    <row r="384" spans="2:8">
      <c r="B384" s="46" t="s">
        <v>152</v>
      </c>
      <c r="C384" s="46" t="s">
        <v>585</v>
      </c>
      <c r="D384" s="46">
        <v>22</v>
      </c>
      <c r="E384" s="48">
        <v>5.3378267436588667</v>
      </c>
      <c r="F384" s="46" t="s">
        <v>484</v>
      </c>
      <c r="G384" s="46" t="s">
        <v>236</v>
      </c>
      <c r="H384" s="46">
        <v>6.6621732563411333</v>
      </c>
    </row>
    <row r="385" spans="2:8">
      <c r="B385" s="46" t="s">
        <v>157</v>
      </c>
      <c r="C385" s="46" t="s">
        <v>585</v>
      </c>
      <c r="D385" s="46">
        <v>23</v>
      </c>
      <c r="E385" s="48">
        <v>5.3384644087311601</v>
      </c>
      <c r="F385" s="46" t="s">
        <v>485</v>
      </c>
      <c r="G385" s="46" t="s">
        <v>236</v>
      </c>
      <c r="H385" s="46">
        <v>6.6615355912688399</v>
      </c>
    </row>
    <row r="386" spans="2:8">
      <c r="B386" s="46" t="s">
        <v>162</v>
      </c>
      <c r="C386" s="46" t="s">
        <v>585</v>
      </c>
      <c r="D386" s="46">
        <v>24</v>
      </c>
      <c r="E386" s="48">
        <v>5.338145141804528</v>
      </c>
      <c r="F386" s="46" t="s">
        <v>486</v>
      </c>
      <c r="G386" s="46" t="s">
        <v>236</v>
      </c>
      <c r="H386" s="46">
        <v>6.661854858195472</v>
      </c>
    </row>
    <row r="387" spans="2:8">
      <c r="B387" s="46" t="s">
        <v>167</v>
      </c>
      <c r="C387" s="46" t="s">
        <v>585</v>
      </c>
      <c r="D387" s="46">
        <v>25</v>
      </c>
      <c r="E387" s="48">
        <v>5.3384640223969422</v>
      </c>
      <c r="F387" s="46" t="s">
        <v>487</v>
      </c>
      <c r="G387" s="46" t="s">
        <v>236</v>
      </c>
      <c r="H387" s="46">
        <v>6.6615359776030578</v>
      </c>
    </row>
    <row r="388" spans="2:8">
      <c r="B388" s="46" t="s">
        <v>172</v>
      </c>
      <c r="C388" s="46" t="s">
        <v>585</v>
      </c>
      <c r="D388" s="46">
        <v>26</v>
      </c>
      <c r="E388" s="48">
        <v>5.3381442701782236</v>
      </c>
      <c r="F388" s="46" t="s">
        <v>488</v>
      </c>
      <c r="G388" s="46" t="s">
        <v>236</v>
      </c>
      <c r="H388" s="46">
        <v>6.6618557298217764</v>
      </c>
    </row>
    <row r="389" spans="2:8">
      <c r="B389" s="46" t="s">
        <v>177</v>
      </c>
      <c r="C389" s="46" t="s">
        <v>585</v>
      </c>
      <c r="D389" s="46">
        <v>27</v>
      </c>
      <c r="E389" s="48">
        <v>5.3378263351723403</v>
      </c>
      <c r="F389" s="46" t="s">
        <v>489</v>
      </c>
      <c r="G389" s="46" t="s">
        <v>236</v>
      </c>
      <c r="H389" s="46">
        <v>6.6621736648276597</v>
      </c>
    </row>
    <row r="390" spans="2:8">
      <c r="B390" s="46" t="s">
        <v>182</v>
      </c>
      <c r="C390" s="46" t="s">
        <v>585</v>
      </c>
      <c r="D390" s="46">
        <v>28</v>
      </c>
      <c r="E390" s="48">
        <v>1.4018511456785074</v>
      </c>
      <c r="F390" s="46" t="s">
        <v>490</v>
      </c>
      <c r="G390" s="46" t="s">
        <v>236</v>
      </c>
      <c r="H390" s="46">
        <v>10.598148854321492</v>
      </c>
    </row>
    <row r="391" spans="2:8">
      <c r="B391" s="46" t="s">
        <v>187</v>
      </c>
      <c r="C391" s="46" t="s">
        <v>585</v>
      </c>
      <c r="D391" s="46">
        <v>29</v>
      </c>
      <c r="E391" s="48">
        <v>3.8978056672180124</v>
      </c>
      <c r="F391" s="46" t="s">
        <v>491</v>
      </c>
      <c r="G391" s="46" t="s">
        <v>236</v>
      </c>
      <c r="H391" s="46">
        <v>8.1021943327819876</v>
      </c>
    </row>
    <row r="392" spans="2:8">
      <c r="B392" s="46" t="s">
        <v>192</v>
      </c>
      <c r="C392" s="46" t="s">
        <v>585</v>
      </c>
      <c r="D392" s="46">
        <v>30</v>
      </c>
      <c r="E392" s="48">
        <v>5.337506677910576</v>
      </c>
      <c r="F392" s="46" t="s">
        <v>492</v>
      </c>
      <c r="G392" s="46" t="s">
        <v>236</v>
      </c>
      <c r="H392" s="46">
        <v>6.662493322089424</v>
      </c>
    </row>
    <row r="393" spans="2:8">
      <c r="B393" s="46" t="s">
        <v>197</v>
      </c>
      <c r="C393" s="46" t="s">
        <v>585</v>
      </c>
      <c r="D393" s="46">
        <v>31</v>
      </c>
      <c r="E393" s="48">
        <v>5.3375066857308218</v>
      </c>
      <c r="F393" s="46" t="s">
        <v>493</v>
      </c>
      <c r="G393" s="46" t="s">
        <v>236</v>
      </c>
      <c r="H393" s="46">
        <v>6.6624933142691782</v>
      </c>
    </row>
    <row r="394" spans="2:8">
      <c r="B394" s="46" t="s">
        <v>48</v>
      </c>
      <c r="C394" s="46" t="s">
        <v>587</v>
      </c>
      <c r="D394" s="46">
        <v>1</v>
      </c>
      <c r="E394" s="48">
        <v>47.647799272727276</v>
      </c>
      <c r="F394" s="46" t="s">
        <v>494</v>
      </c>
      <c r="G394" s="46" t="s">
        <v>236</v>
      </c>
      <c r="H394" s="46">
        <v>2.3522007272727237</v>
      </c>
    </row>
    <row r="395" spans="2:8">
      <c r="B395" s="46" t="s">
        <v>53</v>
      </c>
      <c r="C395" s="46" t="s">
        <v>587</v>
      </c>
      <c r="D395" s="46">
        <v>2</v>
      </c>
      <c r="E395" s="48">
        <v>47.648799272727274</v>
      </c>
      <c r="F395" s="46" t="s">
        <v>495</v>
      </c>
      <c r="G395" s="46" t="s">
        <v>236</v>
      </c>
      <c r="H395" s="46">
        <v>2.351200727272726</v>
      </c>
    </row>
    <row r="396" spans="2:8">
      <c r="B396" s="46" t="s">
        <v>58</v>
      </c>
      <c r="C396" s="46" t="s">
        <v>587</v>
      </c>
      <c r="D396" s="46">
        <v>3</v>
      </c>
      <c r="E396" s="48">
        <v>47.650799272727276</v>
      </c>
      <c r="F396" s="46" t="s">
        <v>496</v>
      </c>
      <c r="G396" s="46" t="s">
        <v>236</v>
      </c>
      <c r="H396" s="46">
        <v>2.3492007272727236</v>
      </c>
    </row>
    <row r="397" spans="2:8">
      <c r="B397" s="46" t="s">
        <v>63</v>
      </c>
      <c r="C397" s="46" t="s">
        <v>587</v>
      </c>
      <c r="D397" s="46">
        <v>4</v>
      </c>
      <c r="E397" s="48">
        <v>35.648799272727281</v>
      </c>
      <c r="F397" s="46" t="s">
        <v>497</v>
      </c>
      <c r="G397" s="46" t="s">
        <v>236</v>
      </c>
      <c r="H397" s="46">
        <v>14.351200727272719</v>
      </c>
    </row>
    <row r="398" spans="2:8">
      <c r="B398" s="46" t="s">
        <v>68</v>
      </c>
      <c r="C398" s="46" t="s">
        <v>587</v>
      </c>
      <c r="D398" s="46">
        <v>5</v>
      </c>
      <c r="E398" s="48">
        <v>35.649799272727279</v>
      </c>
      <c r="F398" s="46" t="s">
        <v>498</v>
      </c>
      <c r="G398" s="46" t="s">
        <v>236</v>
      </c>
      <c r="H398" s="46">
        <v>14.350200727272721</v>
      </c>
    </row>
    <row r="399" spans="2:8">
      <c r="B399" s="46" t="s">
        <v>73</v>
      </c>
      <c r="C399" s="46" t="s">
        <v>587</v>
      </c>
      <c r="D399" s="46">
        <v>6</v>
      </c>
      <c r="E399" s="48">
        <v>35.647799272727276</v>
      </c>
      <c r="F399" s="46" t="s">
        <v>499</v>
      </c>
      <c r="G399" s="46" t="s">
        <v>236</v>
      </c>
      <c r="H399" s="46">
        <v>14.352200727272724</v>
      </c>
    </row>
    <row r="400" spans="2:8">
      <c r="B400" s="46" t="s">
        <v>78</v>
      </c>
      <c r="C400" s="46" t="s">
        <v>587</v>
      </c>
      <c r="D400" s="46">
        <v>7</v>
      </c>
      <c r="E400" s="48">
        <v>0</v>
      </c>
      <c r="F400" s="46" t="s">
        <v>500</v>
      </c>
      <c r="G400" s="46" t="s">
        <v>236</v>
      </c>
      <c r="H400" s="46">
        <v>50</v>
      </c>
    </row>
    <row r="401" spans="2:8">
      <c r="B401" s="46" t="s">
        <v>83</v>
      </c>
      <c r="C401" s="46" t="s">
        <v>587</v>
      </c>
      <c r="D401" s="46">
        <v>8</v>
      </c>
      <c r="E401" s="48">
        <v>0</v>
      </c>
      <c r="F401" s="46" t="s">
        <v>501</v>
      </c>
      <c r="G401" s="46" t="s">
        <v>236</v>
      </c>
      <c r="H401" s="46">
        <v>50</v>
      </c>
    </row>
    <row r="402" spans="2:8">
      <c r="B402" s="46" t="s">
        <v>88</v>
      </c>
      <c r="C402" s="46" t="s">
        <v>587</v>
      </c>
      <c r="D402" s="46">
        <v>9</v>
      </c>
      <c r="E402" s="48">
        <v>0</v>
      </c>
      <c r="F402" s="46" t="s">
        <v>502</v>
      </c>
      <c r="G402" s="46" t="s">
        <v>236</v>
      </c>
      <c r="H402" s="46">
        <v>50</v>
      </c>
    </row>
    <row r="403" spans="2:8">
      <c r="B403" s="46" t="s">
        <v>93</v>
      </c>
      <c r="C403" s="46" t="s">
        <v>587</v>
      </c>
      <c r="D403" s="46">
        <v>10</v>
      </c>
      <c r="E403" s="48">
        <v>0</v>
      </c>
      <c r="F403" s="46" t="s">
        <v>503</v>
      </c>
      <c r="G403" s="46" t="s">
        <v>236</v>
      </c>
      <c r="H403" s="46">
        <v>50</v>
      </c>
    </row>
    <row r="404" spans="2:8">
      <c r="B404" s="46" t="s">
        <v>98</v>
      </c>
      <c r="C404" s="46" t="s">
        <v>587</v>
      </c>
      <c r="D404" s="46">
        <v>11</v>
      </c>
      <c r="E404" s="48">
        <v>1.5201161916854553</v>
      </c>
      <c r="F404" s="46" t="s">
        <v>504</v>
      </c>
      <c r="G404" s="46" t="s">
        <v>236</v>
      </c>
      <c r="H404" s="46">
        <v>48.479883808314547</v>
      </c>
    </row>
    <row r="405" spans="2:8">
      <c r="B405" s="46" t="s">
        <v>103</v>
      </c>
      <c r="C405" s="46" t="s">
        <v>587</v>
      </c>
      <c r="D405" s="46">
        <v>12</v>
      </c>
      <c r="E405" s="48">
        <v>4.9068176868413298</v>
      </c>
      <c r="F405" s="46" t="s">
        <v>505</v>
      </c>
      <c r="G405" s="46" t="s">
        <v>236</v>
      </c>
      <c r="H405" s="46">
        <v>45.093182313158671</v>
      </c>
    </row>
    <row r="406" spans="2:8">
      <c r="B406" s="46" t="s">
        <v>108</v>
      </c>
      <c r="C406" s="46" t="s">
        <v>587</v>
      </c>
      <c r="D406" s="46">
        <v>13</v>
      </c>
      <c r="E406" s="48">
        <v>8.5211879360963447</v>
      </c>
      <c r="F406" s="46" t="s">
        <v>506</v>
      </c>
      <c r="G406" s="46" t="s">
        <v>236</v>
      </c>
      <c r="H406" s="46">
        <v>41.478812063903653</v>
      </c>
    </row>
    <row r="407" spans="2:8">
      <c r="B407" s="46" t="s">
        <v>113</v>
      </c>
      <c r="C407" s="46" t="s">
        <v>587</v>
      </c>
      <c r="D407" s="46">
        <v>14</v>
      </c>
      <c r="E407" s="48">
        <v>11.104892985265266</v>
      </c>
      <c r="F407" s="46" t="s">
        <v>507</v>
      </c>
      <c r="G407" s="46" t="s">
        <v>236</v>
      </c>
      <c r="H407" s="46">
        <v>38.895107014734734</v>
      </c>
    </row>
    <row r="408" spans="2:8">
      <c r="B408" s="46" t="s">
        <v>118</v>
      </c>
      <c r="C408" s="46" t="s">
        <v>587</v>
      </c>
      <c r="D408" s="46">
        <v>15</v>
      </c>
      <c r="E408" s="48">
        <v>13.876031560507789</v>
      </c>
      <c r="F408" s="46" t="s">
        <v>508</v>
      </c>
      <c r="G408" s="46" t="s">
        <v>236</v>
      </c>
      <c r="H408" s="46">
        <v>36.123968439492209</v>
      </c>
    </row>
    <row r="409" spans="2:8">
      <c r="B409" s="46" t="s">
        <v>123</v>
      </c>
      <c r="C409" s="46" t="s">
        <v>587</v>
      </c>
      <c r="D409" s="46">
        <v>16</v>
      </c>
      <c r="E409" s="48">
        <v>13.875712350431852</v>
      </c>
      <c r="F409" s="46" t="s">
        <v>509</v>
      </c>
      <c r="G409" s="46" t="s">
        <v>236</v>
      </c>
      <c r="H409" s="46">
        <v>36.124287649568146</v>
      </c>
    </row>
    <row r="410" spans="2:8">
      <c r="B410" s="46" t="s">
        <v>128</v>
      </c>
      <c r="C410" s="46" t="s">
        <v>587</v>
      </c>
      <c r="D410" s="46">
        <v>17</v>
      </c>
      <c r="E410" s="48">
        <v>13.875712354432824</v>
      </c>
      <c r="F410" s="46" t="s">
        <v>510</v>
      </c>
      <c r="G410" s="46" t="s">
        <v>236</v>
      </c>
      <c r="H410" s="46">
        <v>36.124287645567179</v>
      </c>
    </row>
    <row r="411" spans="2:8">
      <c r="B411" s="46" t="s">
        <v>133</v>
      </c>
      <c r="C411" s="46" t="s">
        <v>587</v>
      </c>
      <c r="D411" s="46">
        <v>18</v>
      </c>
      <c r="E411" s="48">
        <v>13.876350810058225</v>
      </c>
      <c r="F411" s="46" t="s">
        <v>511</v>
      </c>
      <c r="G411" s="46" t="s">
        <v>236</v>
      </c>
      <c r="H411" s="46">
        <v>36.123649189941773</v>
      </c>
    </row>
    <row r="412" spans="2:8">
      <c r="B412" s="46" t="s">
        <v>138</v>
      </c>
      <c r="C412" s="46" t="s">
        <v>587</v>
      </c>
      <c r="D412" s="46">
        <v>19</v>
      </c>
      <c r="E412" s="48">
        <v>13.876031560483856</v>
      </c>
      <c r="F412" s="46" t="s">
        <v>512</v>
      </c>
      <c r="G412" s="46" t="s">
        <v>236</v>
      </c>
      <c r="H412" s="46">
        <v>36.123968439516148</v>
      </c>
    </row>
    <row r="413" spans="2:8">
      <c r="B413" s="46" t="s">
        <v>143</v>
      </c>
      <c r="C413" s="46" t="s">
        <v>587</v>
      </c>
      <c r="D413" s="46">
        <v>20</v>
      </c>
      <c r="E413" s="48">
        <v>13.768474455242643</v>
      </c>
      <c r="F413" s="46" t="s">
        <v>513</v>
      </c>
      <c r="G413" s="46" t="s">
        <v>236</v>
      </c>
      <c r="H413" s="46">
        <v>36.231525544757361</v>
      </c>
    </row>
    <row r="414" spans="2:8">
      <c r="B414" s="46" t="s">
        <v>148</v>
      </c>
      <c r="C414" s="46" t="s">
        <v>587</v>
      </c>
      <c r="D414" s="46">
        <v>21</v>
      </c>
      <c r="E414" s="48">
        <v>13.878985855338913</v>
      </c>
      <c r="F414" s="46" t="s">
        <v>514</v>
      </c>
      <c r="G414" s="46" t="s">
        <v>236</v>
      </c>
      <c r="H414" s="46">
        <v>36.121014144661089</v>
      </c>
    </row>
    <row r="415" spans="2:8">
      <c r="B415" s="46" t="s">
        <v>153</v>
      </c>
      <c r="C415" s="46" t="s">
        <v>587</v>
      </c>
      <c r="D415" s="46">
        <v>22</v>
      </c>
      <c r="E415" s="48">
        <v>13.876031564508748</v>
      </c>
      <c r="F415" s="46" t="s">
        <v>515</v>
      </c>
      <c r="G415" s="46" t="s">
        <v>236</v>
      </c>
      <c r="H415" s="46">
        <v>36.12396843549125</v>
      </c>
    </row>
    <row r="416" spans="2:8">
      <c r="B416" s="46" t="s">
        <v>158</v>
      </c>
      <c r="C416" s="46" t="s">
        <v>587</v>
      </c>
      <c r="D416" s="46">
        <v>23</v>
      </c>
      <c r="E416" s="48">
        <v>13.876350774584695</v>
      </c>
      <c r="F416" s="46" t="s">
        <v>516</v>
      </c>
      <c r="G416" s="46" t="s">
        <v>236</v>
      </c>
      <c r="H416" s="46">
        <v>36.123649225415306</v>
      </c>
    </row>
    <row r="417" spans="2:8">
      <c r="B417" s="46" t="s">
        <v>163</v>
      </c>
      <c r="C417" s="46" t="s">
        <v>587</v>
      </c>
      <c r="D417" s="46">
        <v>24</v>
      </c>
      <c r="E417" s="48">
        <v>13.876350770559794</v>
      </c>
      <c r="F417" s="46" t="s">
        <v>517</v>
      </c>
      <c r="G417" s="46" t="s">
        <v>236</v>
      </c>
      <c r="H417" s="46">
        <v>36.123649229440204</v>
      </c>
    </row>
    <row r="418" spans="2:8">
      <c r="B418" s="46" t="s">
        <v>168</v>
      </c>
      <c r="C418" s="46" t="s">
        <v>587</v>
      </c>
      <c r="D418" s="46">
        <v>25</v>
      </c>
      <c r="E418" s="48">
        <v>13.875712418184484</v>
      </c>
      <c r="F418" s="46" t="s">
        <v>518</v>
      </c>
      <c r="G418" s="46" t="s">
        <v>236</v>
      </c>
      <c r="H418" s="46">
        <v>36.124287581815516</v>
      </c>
    </row>
    <row r="419" spans="2:8">
      <c r="B419" s="46" t="s">
        <v>173</v>
      </c>
      <c r="C419" s="46" t="s">
        <v>587</v>
      </c>
      <c r="D419" s="46">
        <v>26</v>
      </c>
      <c r="E419" s="48">
        <v>13.875712624704056</v>
      </c>
      <c r="F419" s="46" t="s">
        <v>519</v>
      </c>
      <c r="G419" s="46" t="s">
        <v>236</v>
      </c>
      <c r="H419" s="46">
        <v>36.124287375295943</v>
      </c>
    </row>
    <row r="420" spans="2:8">
      <c r="B420" s="46" t="s">
        <v>178</v>
      </c>
      <c r="C420" s="46" t="s">
        <v>587</v>
      </c>
      <c r="D420" s="46">
        <v>27</v>
      </c>
      <c r="E420" s="48">
        <v>13.915738477051773</v>
      </c>
      <c r="F420" s="46" t="s">
        <v>520</v>
      </c>
      <c r="G420" s="46" t="s">
        <v>236</v>
      </c>
      <c r="H420" s="46">
        <v>36.084261522948225</v>
      </c>
    </row>
    <row r="421" spans="2:8">
      <c r="B421" s="46" t="s">
        <v>183</v>
      </c>
      <c r="C421" s="46" t="s">
        <v>587</v>
      </c>
      <c r="D421" s="46">
        <v>28</v>
      </c>
      <c r="E421" s="48">
        <v>7.7052780414883753</v>
      </c>
      <c r="F421" s="46" t="s">
        <v>521</v>
      </c>
      <c r="G421" s="46" t="s">
        <v>236</v>
      </c>
      <c r="H421" s="46">
        <v>42.294721958511623</v>
      </c>
    </row>
    <row r="422" spans="2:8">
      <c r="B422" s="46" t="s">
        <v>188</v>
      </c>
      <c r="C422" s="46" t="s">
        <v>587</v>
      </c>
      <c r="D422" s="46">
        <v>29</v>
      </c>
      <c r="E422" s="48">
        <v>12.457394977250052</v>
      </c>
      <c r="F422" s="46" t="s">
        <v>522</v>
      </c>
      <c r="G422" s="46" t="s">
        <v>236</v>
      </c>
      <c r="H422" s="46">
        <v>37.542605022749946</v>
      </c>
    </row>
    <row r="423" spans="2:8">
      <c r="B423" s="46" t="s">
        <v>193</v>
      </c>
      <c r="C423" s="46" t="s">
        <v>587</v>
      </c>
      <c r="D423" s="46">
        <v>30</v>
      </c>
      <c r="E423" s="48">
        <v>13.875393237133791</v>
      </c>
      <c r="F423" s="46" t="s">
        <v>523</v>
      </c>
      <c r="G423" s="46" t="s">
        <v>236</v>
      </c>
      <c r="H423" s="46">
        <v>36.124606762866208</v>
      </c>
    </row>
    <row r="424" spans="2:8">
      <c r="B424" s="46" t="s">
        <v>198</v>
      </c>
      <c r="C424" s="46" t="s">
        <v>587</v>
      </c>
      <c r="D424" s="46">
        <v>31</v>
      </c>
      <c r="E424" s="48">
        <v>13.875393162914383</v>
      </c>
      <c r="F424" s="46" t="s">
        <v>524</v>
      </c>
      <c r="G424" s="46" t="s">
        <v>236</v>
      </c>
      <c r="H424" s="46">
        <v>36.124606837085615</v>
      </c>
    </row>
    <row r="425" spans="2:8">
      <c r="B425" s="46" t="s">
        <v>199</v>
      </c>
      <c r="C425" s="46" t="s">
        <v>20</v>
      </c>
      <c r="D425" s="46">
        <v>1</v>
      </c>
      <c r="E425" s="49">
        <v>0.16157455411571439</v>
      </c>
      <c r="F425" s="46" t="s">
        <v>525</v>
      </c>
      <c r="G425" s="46" t="s">
        <v>236</v>
      </c>
      <c r="H425" s="46">
        <v>8.4254458842856206E-3</v>
      </c>
    </row>
    <row r="426" spans="2:8">
      <c r="B426" s="46" t="s">
        <v>200</v>
      </c>
      <c r="C426" s="46" t="s">
        <v>20</v>
      </c>
      <c r="D426" s="46">
        <v>2</v>
      </c>
      <c r="E426" s="49">
        <v>0.16157455411571442</v>
      </c>
      <c r="F426" s="46" t="s">
        <v>526</v>
      </c>
      <c r="G426" s="46" t="s">
        <v>236</v>
      </c>
      <c r="H426" s="46">
        <v>8.4254458842855928E-3</v>
      </c>
    </row>
    <row r="427" spans="2:8">
      <c r="B427" s="46" t="s">
        <v>201</v>
      </c>
      <c r="C427" s="46" t="s">
        <v>20</v>
      </c>
      <c r="D427" s="46">
        <v>3</v>
      </c>
      <c r="E427" s="49">
        <v>0.16157455411571439</v>
      </c>
      <c r="F427" s="46" t="s">
        <v>527</v>
      </c>
      <c r="G427" s="46" t="s">
        <v>236</v>
      </c>
      <c r="H427" s="46">
        <v>8.4254458842856206E-3</v>
      </c>
    </row>
    <row r="428" spans="2:8">
      <c r="B428" s="46" t="s">
        <v>203</v>
      </c>
      <c r="C428" s="46" t="s">
        <v>20</v>
      </c>
      <c r="D428" s="46">
        <v>4</v>
      </c>
      <c r="E428" s="49">
        <v>0.16157455411571439</v>
      </c>
      <c r="F428" s="46" t="s">
        <v>528</v>
      </c>
      <c r="G428" s="46" t="s">
        <v>236</v>
      </c>
      <c r="H428" s="46">
        <v>8.4254458842856206E-3</v>
      </c>
    </row>
    <row r="429" spans="2:8">
      <c r="B429" s="46" t="s">
        <v>205</v>
      </c>
      <c r="C429" s="46" t="s">
        <v>20</v>
      </c>
      <c r="D429" s="46">
        <v>5</v>
      </c>
      <c r="E429" s="49">
        <v>0.16157455411571439</v>
      </c>
      <c r="F429" s="46" t="s">
        <v>529</v>
      </c>
      <c r="G429" s="46" t="s">
        <v>236</v>
      </c>
      <c r="H429" s="46">
        <v>8.4254458842856206E-3</v>
      </c>
    </row>
    <row r="430" spans="2:8">
      <c r="B430" s="46" t="s">
        <v>207</v>
      </c>
      <c r="C430" s="46" t="s">
        <v>20</v>
      </c>
      <c r="D430" s="46">
        <v>6</v>
      </c>
      <c r="E430" s="49">
        <v>0.16157455411571442</v>
      </c>
      <c r="F430" s="46" t="s">
        <v>530</v>
      </c>
      <c r="G430" s="46" t="s">
        <v>236</v>
      </c>
      <c r="H430" s="46">
        <v>8.4254458842855928E-3</v>
      </c>
    </row>
    <row r="431" spans="2:8">
      <c r="B431" s="46" t="s">
        <v>208</v>
      </c>
      <c r="C431" s="46" t="s">
        <v>20</v>
      </c>
      <c r="D431" s="46">
        <v>7</v>
      </c>
      <c r="E431" s="49">
        <v>0.17</v>
      </c>
      <c r="F431" s="46" t="s">
        <v>531</v>
      </c>
      <c r="G431" s="46" t="s">
        <v>241</v>
      </c>
      <c r="H431" s="46">
        <v>0</v>
      </c>
    </row>
    <row r="432" spans="2:8">
      <c r="B432" s="46" t="s">
        <v>210</v>
      </c>
      <c r="C432" s="46" t="s">
        <v>20</v>
      </c>
      <c r="D432" s="46">
        <v>8</v>
      </c>
      <c r="E432" s="49">
        <v>0.17</v>
      </c>
      <c r="F432" s="46" t="s">
        <v>532</v>
      </c>
      <c r="G432" s="46" t="s">
        <v>241</v>
      </c>
      <c r="H432" s="46">
        <v>0</v>
      </c>
    </row>
    <row r="433" spans="2:8">
      <c r="B433" s="46" t="s">
        <v>211</v>
      </c>
      <c r="C433" s="46" t="s">
        <v>20</v>
      </c>
      <c r="D433" s="46">
        <v>9</v>
      </c>
      <c r="E433" s="49">
        <v>0.17</v>
      </c>
      <c r="F433" s="46" t="s">
        <v>533</v>
      </c>
      <c r="G433" s="46" t="s">
        <v>241</v>
      </c>
      <c r="H433" s="46">
        <v>0</v>
      </c>
    </row>
    <row r="434" spans="2:8">
      <c r="B434" s="46" t="s">
        <v>212</v>
      </c>
      <c r="C434" s="46" t="s">
        <v>20</v>
      </c>
      <c r="D434" s="46">
        <v>10</v>
      </c>
      <c r="E434" s="49">
        <v>0.17</v>
      </c>
      <c r="F434" s="46" t="s">
        <v>534</v>
      </c>
      <c r="G434" s="46" t="s">
        <v>241</v>
      </c>
      <c r="H434" s="46">
        <v>0</v>
      </c>
    </row>
    <row r="435" spans="2:8">
      <c r="B435" s="46" t="s">
        <v>213</v>
      </c>
      <c r="C435" s="46" t="s">
        <v>20</v>
      </c>
      <c r="D435" s="46">
        <v>11</v>
      </c>
      <c r="E435" s="49">
        <v>0.16157455411571442</v>
      </c>
      <c r="F435" s="46" t="s">
        <v>535</v>
      </c>
      <c r="G435" s="46" t="s">
        <v>236</v>
      </c>
      <c r="H435" s="46">
        <v>8.4254458842855928E-3</v>
      </c>
    </row>
    <row r="436" spans="2:8">
      <c r="B436" s="46" t="s">
        <v>214</v>
      </c>
      <c r="C436" s="46" t="s">
        <v>20</v>
      </c>
      <c r="D436" s="46">
        <v>12</v>
      </c>
      <c r="E436" s="49">
        <v>0.16157455411571439</v>
      </c>
      <c r="F436" s="46" t="s">
        <v>536</v>
      </c>
      <c r="G436" s="46" t="s">
        <v>236</v>
      </c>
      <c r="H436" s="46">
        <v>8.4254458842856206E-3</v>
      </c>
    </row>
    <row r="437" spans="2:8">
      <c r="B437" s="46" t="s">
        <v>215</v>
      </c>
      <c r="C437" s="46" t="s">
        <v>20</v>
      </c>
      <c r="D437" s="46">
        <v>13</v>
      </c>
      <c r="E437" s="49">
        <v>0.17</v>
      </c>
      <c r="F437" s="46" t="s">
        <v>537</v>
      </c>
      <c r="G437" s="46" t="s">
        <v>241</v>
      </c>
      <c r="H437" s="46">
        <v>0</v>
      </c>
    </row>
    <row r="438" spans="2:8">
      <c r="B438" s="46" t="s">
        <v>216</v>
      </c>
      <c r="C438" s="46" t="s">
        <v>20</v>
      </c>
      <c r="D438" s="46">
        <v>14</v>
      </c>
      <c r="E438" s="49">
        <v>0.17</v>
      </c>
      <c r="F438" s="46" t="s">
        <v>538</v>
      </c>
      <c r="G438" s="46" t="s">
        <v>241</v>
      </c>
      <c r="H438" s="46">
        <v>0</v>
      </c>
    </row>
    <row r="439" spans="2:8">
      <c r="B439" s="46" t="s">
        <v>217</v>
      </c>
      <c r="C439" s="46" t="s">
        <v>20</v>
      </c>
      <c r="D439" s="46">
        <v>15</v>
      </c>
      <c r="E439" s="49">
        <v>0.17</v>
      </c>
      <c r="F439" s="46" t="s">
        <v>539</v>
      </c>
      <c r="G439" s="46" t="s">
        <v>241</v>
      </c>
      <c r="H439" s="46">
        <v>0</v>
      </c>
    </row>
    <row r="440" spans="2:8">
      <c r="B440" s="46" t="s">
        <v>218</v>
      </c>
      <c r="C440" s="46" t="s">
        <v>20</v>
      </c>
      <c r="D440" s="46">
        <v>16</v>
      </c>
      <c r="E440" s="49">
        <v>0.17</v>
      </c>
      <c r="F440" s="46" t="s">
        <v>540</v>
      </c>
      <c r="G440" s="46" t="s">
        <v>241</v>
      </c>
      <c r="H440" s="46">
        <v>0</v>
      </c>
    </row>
    <row r="441" spans="2:8">
      <c r="B441" s="46" t="s">
        <v>219</v>
      </c>
      <c r="C441" s="46" t="s">
        <v>20</v>
      </c>
      <c r="D441" s="46">
        <v>17</v>
      </c>
      <c r="E441" s="49">
        <v>0.16157455411571445</v>
      </c>
      <c r="F441" s="46" t="s">
        <v>541</v>
      </c>
      <c r="G441" s="46" t="s">
        <v>236</v>
      </c>
      <c r="H441" s="46">
        <v>8.4254458842855651E-3</v>
      </c>
    </row>
    <row r="442" spans="2:8">
      <c r="B442" s="46" t="s">
        <v>220</v>
      </c>
      <c r="C442" s="46" t="s">
        <v>20</v>
      </c>
      <c r="D442" s="46">
        <v>18</v>
      </c>
      <c r="E442" s="49">
        <v>0.16157455411571642</v>
      </c>
      <c r="F442" s="46" t="s">
        <v>542</v>
      </c>
      <c r="G442" s="46" t="s">
        <v>236</v>
      </c>
      <c r="H442" s="46">
        <v>8.4254458842835944E-3</v>
      </c>
    </row>
    <row r="443" spans="2:8">
      <c r="B443" s="46" t="s">
        <v>221</v>
      </c>
      <c r="C443" s="46" t="s">
        <v>20</v>
      </c>
      <c r="D443" s="46">
        <v>19</v>
      </c>
      <c r="E443" s="49">
        <v>0.16157455411571164</v>
      </c>
      <c r="F443" s="46" t="s">
        <v>543</v>
      </c>
      <c r="G443" s="46" t="s">
        <v>236</v>
      </c>
      <c r="H443" s="46">
        <v>8.4254458842883684E-3</v>
      </c>
    </row>
    <row r="444" spans="2:8">
      <c r="B444" s="46" t="s">
        <v>222</v>
      </c>
      <c r="C444" s="46" t="s">
        <v>20</v>
      </c>
      <c r="D444" s="46">
        <v>20</v>
      </c>
      <c r="E444" s="49">
        <v>0.17</v>
      </c>
      <c r="F444" s="46" t="s">
        <v>544</v>
      </c>
      <c r="G444" s="46" t="s">
        <v>241</v>
      </c>
      <c r="H444" s="46">
        <v>0</v>
      </c>
    </row>
    <row r="445" spans="2:8">
      <c r="B445" s="46" t="s">
        <v>223</v>
      </c>
      <c r="C445" s="46" t="s">
        <v>20</v>
      </c>
      <c r="D445" s="46">
        <v>21</v>
      </c>
      <c r="E445" s="49">
        <v>0.17</v>
      </c>
      <c r="F445" s="46" t="s">
        <v>545</v>
      </c>
      <c r="G445" s="46" t="s">
        <v>241</v>
      </c>
      <c r="H445" s="46">
        <v>0</v>
      </c>
    </row>
    <row r="446" spans="2:8">
      <c r="B446" s="46" t="s">
        <v>224</v>
      </c>
      <c r="C446" s="46" t="s">
        <v>20</v>
      </c>
      <c r="D446" s="46">
        <v>22</v>
      </c>
      <c r="E446" s="49">
        <v>0.17</v>
      </c>
      <c r="F446" s="46" t="s">
        <v>546</v>
      </c>
      <c r="G446" s="46" t="s">
        <v>241</v>
      </c>
      <c r="H446" s="46">
        <v>0</v>
      </c>
    </row>
    <row r="447" spans="2:8">
      <c r="B447" s="46" t="s">
        <v>225</v>
      </c>
      <c r="C447" s="46" t="s">
        <v>20</v>
      </c>
      <c r="D447" s="46">
        <v>23</v>
      </c>
      <c r="E447" s="49">
        <v>0.17</v>
      </c>
      <c r="F447" s="46" t="s">
        <v>547</v>
      </c>
      <c r="G447" s="46" t="s">
        <v>241</v>
      </c>
      <c r="H447" s="46">
        <v>0</v>
      </c>
    </row>
    <row r="448" spans="2:8">
      <c r="B448" s="46" t="s">
        <v>226</v>
      </c>
      <c r="C448" s="46" t="s">
        <v>20</v>
      </c>
      <c r="D448" s="46">
        <v>24</v>
      </c>
      <c r="E448" s="49">
        <v>0.1591158284679598</v>
      </c>
      <c r="F448" s="46" t="s">
        <v>548</v>
      </c>
      <c r="G448" s="46" t="s">
        <v>236</v>
      </c>
      <c r="H448" s="46">
        <v>1.0884171532040215E-2</v>
      </c>
    </row>
    <row r="449" spans="2:8">
      <c r="B449" s="46" t="s">
        <v>227</v>
      </c>
      <c r="C449" s="46" t="s">
        <v>20</v>
      </c>
      <c r="D449" s="46">
        <v>25</v>
      </c>
      <c r="E449" s="49">
        <v>0.15911582846795971</v>
      </c>
      <c r="F449" s="46" t="s">
        <v>549</v>
      </c>
      <c r="G449" s="46" t="s">
        <v>236</v>
      </c>
      <c r="H449" s="46">
        <v>1.0884171532040299E-2</v>
      </c>
    </row>
    <row r="450" spans="2:8">
      <c r="B450" s="46" t="s">
        <v>228</v>
      </c>
      <c r="C450" s="46" t="s">
        <v>20</v>
      </c>
      <c r="D450" s="46">
        <v>26</v>
      </c>
      <c r="E450" s="49">
        <v>0.15911582846795982</v>
      </c>
      <c r="F450" s="46" t="s">
        <v>550</v>
      </c>
      <c r="G450" s="46" t="s">
        <v>236</v>
      </c>
      <c r="H450" s="46">
        <v>1.0884171532040188E-2</v>
      </c>
    </row>
    <row r="451" spans="2:8">
      <c r="B451" s="46" t="s">
        <v>229</v>
      </c>
      <c r="C451" s="46" t="s">
        <v>20</v>
      </c>
      <c r="D451" s="46">
        <v>27</v>
      </c>
      <c r="E451" s="49">
        <v>0.15911582846795963</v>
      </c>
      <c r="F451" s="46" t="s">
        <v>551</v>
      </c>
      <c r="G451" s="46" t="s">
        <v>236</v>
      </c>
      <c r="H451" s="46">
        <v>1.0884171532040382E-2</v>
      </c>
    </row>
    <row r="452" spans="2:8">
      <c r="B452" s="46" t="s">
        <v>230</v>
      </c>
      <c r="C452" s="46" t="s">
        <v>20</v>
      </c>
      <c r="D452" s="46">
        <v>28</v>
      </c>
      <c r="E452" s="49">
        <v>0.17</v>
      </c>
      <c r="F452" s="46" t="s">
        <v>552</v>
      </c>
      <c r="G452" s="46" t="s">
        <v>241</v>
      </c>
      <c r="H452" s="46">
        <v>0</v>
      </c>
    </row>
    <row r="453" spans="2:8">
      <c r="B453" s="46" t="s">
        <v>231</v>
      </c>
      <c r="C453" s="46" t="s">
        <v>20</v>
      </c>
      <c r="D453" s="46">
        <v>29</v>
      </c>
      <c r="E453" s="49">
        <v>0.17</v>
      </c>
      <c r="F453" s="46" t="s">
        <v>553</v>
      </c>
      <c r="G453" s="46" t="s">
        <v>241</v>
      </c>
      <c r="H453" s="46">
        <v>0</v>
      </c>
    </row>
    <row r="454" spans="2:8">
      <c r="B454" s="46" t="s">
        <v>232</v>
      </c>
      <c r="C454" s="46" t="s">
        <v>20</v>
      </c>
      <c r="D454" s="46">
        <v>30</v>
      </c>
      <c r="E454" s="49">
        <v>0.17</v>
      </c>
      <c r="F454" s="46" t="s">
        <v>554</v>
      </c>
      <c r="G454" s="46" t="s">
        <v>241</v>
      </c>
      <c r="H454" s="46">
        <v>0</v>
      </c>
    </row>
    <row r="455" spans="2:8" ht="13.5" thickBot="1">
      <c r="B455" s="45" t="s">
        <v>233</v>
      </c>
      <c r="C455" s="45" t="s">
        <v>20</v>
      </c>
      <c r="D455" s="51">
        <v>31</v>
      </c>
      <c r="E455" s="50">
        <v>0.1591158284679598</v>
      </c>
      <c r="F455" s="45" t="s">
        <v>555</v>
      </c>
      <c r="G455" s="45" t="s">
        <v>236</v>
      </c>
      <c r="H455" s="45">
        <v>1.0884171532040215E-2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3"/>
  <dimension ref="A1:F265"/>
  <sheetViews>
    <sheetView showGridLines="0" workbookViewId="0">
      <selection activeCell="J210" sqref="J210"/>
    </sheetView>
  </sheetViews>
  <sheetFormatPr defaultRowHeight="12.75"/>
  <cols>
    <col min="1" max="1" width="2.125" customWidth="1"/>
    <col min="2" max="2" width="6.75" customWidth="1"/>
    <col min="3" max="3" width="46" bestFit="1" customWidth="1"/>
    <col min="4" max="4" width="5.875" customWidth="1"/>
    <col min="5" max="6" width="12.75" bestFit="1" customWidth="1"/>
  </cols>
  <sheetData>
    <row r="1" spans="1:6">
      <c r="A1" s="1" t="s">
        <v>556</v>
      </c>
    </row>
    <row r="2" spans="1:6">
      <c r="A2" s="1" t="s">
        <v>588</v>
      </c>
    </row>
    <row r="3" spans="1:6">
      <c r="A3" s="1" t="s">
        <v>645</v>
      </c>
    </row>
    <row r="6" spans="1:6" ht="13.5" thickBot="1">
      <c r="A6" t="s">
        <v>37</v>
      </c>
    </row>
    <row r="7" spans="1:6">
      <c r="B7" s="71"/>
      <c r="C7" s="71"/>
      <c r="D7" s="74" t="s">
        <v>0</v>
      </c>
      <c r="E7" s="71" t="s">
        <v>557</v>
      </c>
      <c r="F7" s="71" t="s">
        <v>559</v>
      </c>
    </row>
    <row r="8" spans="1:6" ht="13.5" thickBot="1">
      <c r="B8" s="72" t="s">
        <v>33</v>
      </c>
      <c r="C8" s="72" t="s">
        <v>34</v>
      </c>
      <c r="D8" s="75"/>
      <c r="E8" s="72" t="s">
        <v>558</v>
      </c>
      <c r="F8" s="72" t="s">
        <v>560</v>
      </c>
    </row>
    <row r="9" spans="1:6">
      <c r="B9" s="46" t="s">
        <v>44</v>
      </c>
      <c r="C9" s="46" t="s">
        <v>586</v>
      </c>
      <c r="D9" s="46">
        <v>1</v>
      </c>
      <c r="E9" s="48">
        <v>44.425679999999993</v>
      </c>
      <c r="F9" s="48">
        <v>1</v>
      </c>
    </row>
    <row r="10" spans="1:6">
      <c r="B10" s="46" t="s">
        <v>45</v>
      </c>
      <c r="C10" s="46" t="s">
        <v>583</v>
      </c>
      <c r="D10" s="46">
        <v>1</v>
      </c>
      <c r="E10" s="48">
        <v>0</v>
      </c>
      <c r="F10" s="48">
        <v>0</v>
      </c>
    </row>
    <row r="11" spans="1:6">
      <c r="B11" s="46" t="s">
        <v>46</v>
      </c>
      <c r="C11" s="46" t="s">
        <v>584</v>
      </c>
      <c r="D11" s="46">
        <v>1</v>
      </c>
      <c r="E11" s="48">
        <v>0</v>
      </c>
      <c r="F11" s="48">
        <v>0</v>
      </c>
    </row>
    <row r="12" spans="1:6">
      <c r="B12" s="46" t="s">
        <v>47</v>
      </c>
      <c r="C12" s="46" t="s">
        <v>585</v>
      </c>
      <c r="D12" s="46">
        <v>1</v>
      </c>
      <c r="E12" s="48">
        <v>0</v>
      </c>
      <c r="F12" s="48">
        <v>0</v>
      </c>
    </row>
    <row r="13" spans="1:6">
      <c r="B13" s="46" t="s">
        <v>48</v>
      </c>
      <c r="C13" s="46" t="s">
        <v>587</v>
      </c>
      <c r="D13" s="46">
        <v>1</v>
      </c>
      <c r="E13" s="48">
        <v>47.647799272727276</v>
      </c>
      <c r="F13" s="48">
        <v>0</v>
      </c>
    </row>
    <row r="14" spans="1:6">
      <c r="B14" s="46" t="s">
        <v>49</v>
      </c>
      <c r="C14" s="46" t="s">
        <v>586</v>
      </c>
      <c r="D14" s="46">
        <v>2</v>
      </c>
      <c r="E14" s="48">
        <v>44.425679999999993</v>
      </c>
      <c r="F14" s="48">
        <v>1</v>
      </c>
    </row>
    <row r="15" spans="1:6">
      <c r="B15" s="46" t="s">
        <v>50</v>
      </c>
      <c r="C15" s="46" t="s">
        <v>583</v>
      </c>
      <c r="D15" s="46">
        <v>2</v>
      </c>
      <c r="E15" s="48">
        <v>0</v>
      </c>
      <c r="F15" s="48">
        <v>0</v>
      </c>
    </row>
    <row r="16" spans="1:6">
      <c r="B16" s="46" t="s">
        <v>51</v>
      </c>
      <c r="C16" s="46" t="s">
        <v>584</v>
      </c>
      <c r="D16" s="46">
        <v>2</v>
      </c>
      <c r="E16" s="48">
        <v>-9.9999999999944578E-4</v>
      </c>
      <c r="F16" s="48">
        <v>0</v>
      </c>
    </row>
    <row r="17" spans="2:6">
      <c r="B17" s="46" t="s">
        <v>52</v>
      </c>
      <c r="C17" s="46" t="s">
        <v>585</v>
      </c>
      <c r="D17" s="46">
        <v>2</v>
      </c>
      <c r="E17" s="48">
        <v>0</v>
      </c>
      <c r="F17" s="48">
        <v>0</v>
      </c>
    </row>
    <row r="18" spans="2:6">
      <c r="B18" s="46" t="s">
        <v>53</v>
      </c>
      <c r="C18" s="46" t="s">
        <v>587</v>
      </c>
      <c r="D18" s="46">
        <v>2</v>
      </c>
      <c r="E18" s="48">
        <v>47.648799272727274</v>
      </c>
      <c r="F18" s="48">
        <v>0</v>
      </c>
    </row>
    <row r="19" spans="2:6">
      <c r="B19" s="46" t="s">
        <v>54</v>
      </c>
      <c r="C19" s="46" t="s">
        <v>586</v>
      </c>
      <c r="D19" s="46">
        <v>3</v>
      </c>
      <c r="E19" s="48">
        <v>44.425679999999993</v>
      </c>
      <c r="F19" s="48">
        <v>1</v>
      </c>
    </row>
    <row r="20" spans="2:6">
      <c r="B20" s="46" t="s">
        <v>55</v>
      </c>
      <c r="C20" s="46" t="s">
        <v>583</v>
      </c>
      <c r="D20" s="46">
        <v>3</v>
      </c>
      <c r="E20" s="48">
        <v>-9.9999999999988987E-4</v>
      </c>
      <c r="F20" s="48">
        <v>0</v>
      </c>
    </row>
    <row r="21" spans="2:6">
      <c r="B21" s="46" t="s">
        <v>56</v>
      </c>
      <c r="C21" s="46" t="s">
        <v>584</v>
      </c>
      <c r="D21" s="46">
        <v>3</v>
      </c>
      <c r="E21" s="48">
        <v>-9.9999999999988987E-4</v>
      </c>
      <c r="F21" s="48">
        <v>0</v>
      </c>
    </row>
    <row r="22" spans="2:6">
      <c r="B22" s="46" t="s">
        <v>57</v>
      </c>
      <c r="C22" s="46" t="s">
        <v>585</v>
      </c>
      <c r="D22" s="46">
        <v>3</v>
      </c>
      <c r="E22" s="48">
        <v>-9.9999999999944578E-4</v>
      </c>
      <c r="F22" s="48">
        <v>0</v>
      </c>
    </row>
    <row r="23" spans="2:6">
      <c r="B23" s="46" t="s">
        <v>58</v>
      </c>
      <c r="C23" s="46" t="s">
        <v>587</v>
      </c>
      <c r="D23" s="46">
        <v>3</v>
      </c>
      <c r="E23" s="48">
        <v>47.650799272727276</v>
      </c>
      <c r="F23" s="48">
        <v>0</v>
      </c>
    </row>
    <row r="24" spans="2:6">
      <c r="B24" s="46" t="s">
        <v>59</v>
      </c>
      <c r="C24" s="46" t="s">
        <v>586</v>
      </c>
      <c r="D24" s="46">
        <v>4</v>
      </c>
      <c r="E24" s="48">
        <v>44.425679999999993</v>
      </c>
      <c r="F24" s="48">
        <v>1</v>
      </c>
    </row>
    <row r="25" spans="2:6">
      <c r="B25" s="46" t="s">
        <v>60</v>
      </c>
      <c r="C25" s="46" t="s">
        <v>583</v>
      </c>
      <c r="D25" s="46">
        <v>4</v>
      </c>
      <c r="E25" s="48">
        <v>12</v>
      </c>
      <c r="F25" s="48">
        <v>0</v>
      </c>
    </row>
    <row r="26" spans="2:6">
      <c r="B26" s="46" t="s">
        <v>61</v>
      </c>
      <c r="C26" s="46" t="s">
        <v>584</v>
      </c>
      <c r="D26" s="46">
        <v>4</v>
      </c>
      <c r="E26" s="48">
        <v>0</v>
      </c>
      <c r="F26" s="48">
        <v>0</v>
      </c>
    </row>
    <row r="27" spans="2:6">
      <c r="B27" s="46" t="s">
        <v>62</v>
      </c>
      <c r="C27" s="46" t="s">
        <v>585</v>
      </c>
      <c r="D27" s="46">
        <v>4</v>
      </c>
      <c r="E27" s="48">
        <v>-9.9999999999944578E-4</v>
      </c>
      <c r="F27" s="48">
        <v>0</v>
      </c>
    </row>
    <row r="28" spans="2:6">
      <c r="B28" s="46" t="s">
        <v>63</v>
      </c>
      <c r="C28" s="46" t="s">
        <v>587</v>
      </c>
      <c r="D28" s="46">
        <v>4</v>
      </c>
      <c r="E28" s="48">
        <v>35.648799272727281</v>
      </c>
      <c r="F28" s="48">
        <v>0</v>
      </c>
    </row>
    <row r="29" spans="2:6">
      <c r="B29" s="46" t="s">
        <v>64</v>
      </c>
      <c r="C29" s="46" t="s">
        <v>586</v>
      </c>
      <c r="D29" s="46">
        <v>5</v>
      </c>
      <c r="E29" s="48">
        <v>44.425679999999993</v>
      </c>
      <c r="F29" s="48">
        <v>1</v>
      </c>
    </row>
    <row r="30" spans="2:6">
      <c r="B30" s="46" t="s">
        <v>65</v>
      </c>
      <c r="C30" s="46" t="s">
        <v>583</v>
      </c>
      <c r="D30" s="46">
        <v>5</v>
      </c>
      <c r="E30" s="48">
        <v>12</v>
      </c>
      <c r="F30" s="48">
        <v>0</v>
      </c>
    </row>
    <row r="31" spans="2:6">
      <c r="B31" s="46" t="s">
        <v>66</v>
      </c>
      <c r="C31" s="46" t="s">
        <v>584</v>
      </c>
      <c r="D31" s="46">
        <v>5</v>
      </c>
      <c r="E31" s="48">
        <v>-9.9999999999988987E-4</v>
      </c>
      <c r="F31" s="48">
        <v>0</v>
      </c>
    </row>
    <row r="32" spans="2:6">
      <c r="B32" s="46" t="s">
        <v>67</v>
      </c>
      <c r="C32" s="46" t="s">
        <v>585</v>
      </c>
      <c r="D32" s="46">
        <v>5</v>
      </c>
      <c r="E32" s="48">
        <v>-9.9999999999988987E-4</v>
      </c>
      <c r="F32" s="48">
        <v>0</v>
      </c>
    </row>
    <row r="33" spans="2:6">
      <c r="B33" s="46" t="s">
        <v>68</v>
      </c>
      <c r="C33" s="46" t="s">
        <v>587</v>
      </c>
      <c r="D33" s="46">
        <v>5</v>
      </c>
      <c r="E33" s="48">
        <v>35.649799272727279</v>
      </c>
      <c r="F33" s="48">
        <v>0</v>
      </c>
    </row>
    <row r="34" spans="2:6">
      <c r="B34" s="46" t="s">
        <v>69</v>
      </c>
      <c r="C34" s="46" t="s">
        <v>586</v>
      </c>
      <c r="D34" s="46">
        <v>6</v>
      </c>
      <c r="E34" s="48">
        <v>44.425679999999993</v>
      </c>
      <c r="F34" s="48">
        <v>1</v>
      </c>
    </row>
    <row r="35" spans="2:6">
      <c r="B35" s="46" t="s">
        <v>70</v>
      </c>
      <c r="C35" s="46" t="s">
        <v>583</v>
      </c>
      <c r="D35" s="46">
        <v>6</v>
      </c>
      <c r="E35" s="48">
        <v>12</v>
      </c>
      <c r="F35" s="48">
        <v>0</v>
      </c>
    </row>
    <row r="36" spans="2:6">
      <c r="B36" s="46" t="s">
        <v>71</v>
      </c>
      <c r="C36" s="46" t="s">
        <v>584</v>
      </c>
      <c r="D36" s="46">
        <v>6</v>
      </c>
      <c r="E36" s="48">
        <v>0</v>
      </c>
      <c r="F36" s="48">
        <v>0</v>
      </c>
    </row>
    <row r="37" spans="2:6">
      <c r="B37" s="46" t="s">
        <v>72</v>
      </c>
      <c r="C37" s="46" t="s">
        <v>585</v>
      </c>
      <c r="D37" s="46">
        <v>6</v>
      </c>
      <c r="E37" s="48">
        <v>0</v>
      </c>
      <c r="F37" s="48">
        <v>0</v>
      </c>
    </row>
    <row r="38" spans="2:6">
      <c r="B38" s="46" t="s">
        <v>73</v>
      </c>
      <c r="C38" s="46" t="s">
        <v>587</v>
      </c>
      <c r="D38" s="46">
        <v>6</v>
      </c>
      <c r="E38" s="48">
        <v>35.647799272727276</v>
      </c>
      <c r="F38" s="48">
        <v>0</v>
      </c>
    </row>
    <row r="39" spans="2:6">
      <c r="B39" s="46" t="s">
        <v>74</v>
      </c>
      <c r="C39" s="46" t="s">
        <v>586</v>
      </c>
      <c r="D39" s="46">
        <v>7</v>
      </c>
      <c r="E39" s="48">
        <v>44.42568</v>
      </c>
      <c r="F39" s="48">
        <v>0.53964966831079053</v>
      </c>
    </row>
    <row r="40" spans="2:6">
      <c r="B40" s="46" t="s">
        <v>75</v>
      </c>
      <c r="C40" s="46" t="s">
        <v>583</v>
      </c>
      <c r="D40" s="46">
        <v>7</v>
      </c>
      <c r="E40" s="48">
        <v>12.000999999999999</v>
      </c>
      <c r="F40" s="48">
        <v>0</v>
      </c>
    </row>
    <row r="41" spans="2:6">
      <c r="B41" s="46" t="s">
        <v>76</v>
      </c>
      <c r="C41" s="46" t="s">
        <v>584</v>
      </c>
      <c r="D41" s="46">
        <v>7</v>
      </c>
      <c r="E41" s="48">
        <v>27.058431736066922</v>
      </c>
      <c r="F41" s="48">
        <v>0</v>
      </c>
    </row>
    <row r="42" spans="2:6">
      <c r="B42" s="46" t="s">
        <v>77</v>
      </c>
      <c r="C42" s="46" t="s">
        <v>585</v>
      </c>
      <c r="D42" s="46">
        <v>7</v>
      </c>
      <c r="E42" s="48">
        <v>0</v>
      </c>
      <c r="F42" s="48">
        <v>0</v>
      </c>
    </row>
    <row r="43" spans="2:6">
      <c r="B43" s="46" t="s">
        <v>78</v>
      </c>
      <c r="C43" s="46" t="s">
        <v>587</v>
      </c>
      <c r="D43" s="46">
        <v>7</v>
      </c>
      <c r="E43" s="48">
        <v>0</v>
      </c>
      <c r="F43" s="48">
        <v>0</v>
      </c>
    </row>
    <row r="44" spans="2:6">
      <c r="B44" s="46" t="s">
        <v>79</v>
      </c>
      <c r="C44" s="46" t="s">
        <v>586</v>
      </c>
      <c r="D44" s="46">
        <v>8</v>
      </c>
      <c r="E44" s="48">
        <v>44.42568</v>
      </c>
      <c r="F44" s="48">
        <v>0.53964966831079053</v>
      </c>
    </row>
    <row r="45" spans="2:6">
      <c r="B45" s="46" t="s">
        <v>80</v>
      </c>
      <c r="C45" s="46" t="s">
        <v>583</v>
      </c>
      <c r="D45" s="46">
        <v>8</v>
      </c>
      <c r="E45" s="48">
        <v>0</v>
      </c>
      <c r="F45" s="48">
        <v>0</v>
      </c>
    </row>
    <row r="46" spans="2:6">
      <c r="B46" s="46" t="s">
        <v>81</v>
      </c>
      <c r="C46" s="46" t="s">
        <v>584</v>
      </c>
      <c r="D46" s="46">
        <v>8</v>
      </c>
      <c r="E46" s="48">
        <v>35.848051571385795</v>
      </c>
      <c r="F46" s="48">
        <v>0</v>
      </c>
    </row>
    <row r="47" spans="2:6">
      <c r="B47" s="46" t="s">
        <v>82</v>
      </c>
      <c r="C47" s="46" t="s">
        <v>585</v>
      </c>
      <c r="D47" s="46">
        <v>8</v>
      </c>
      <c r="E47" s="48">
        <v>0.52162601961780442</v>
      </c>
      <c r="F47" s="48">
        <v>0</v>
      </c>
    </row>
    <row r="48" spans="2:6">
      <c r="B48" s="46" t="s">
        <v>83</v>
      </c>
      <c r="C48" s="46" t="s">
        <v>587</v>
      </c>
      <c r="D48" s="46">
        <v>8</v>
      </c>
      <c r="E48" s="48">
        <v>0</v>
      </c>
      <c r="F48" s="48">
        <v>0</v>
      </c>
    </row>
    <row r="49" spans="2:6">
      <c r="B49" s="46" t="s">
        <v>84</v>
      </c>
      <c r="C49" s="46" t="s">
        <v>586</v>
      </c>
      <c r="D49" s="46">
        <v>9</v>
      </c>
      <c r="E49" s="48">
        <v>44.42568</v>
      </c>
      <c r="F49" s="48">
        <v>0.53964966831079053</v>
      </c>
    </row>
    <row r="50" spans="2:6">
      <c r="B50" s="46" t="s">
        <v>85</v>
      </c>
      <c r="C50" s="46" t="s">
        <v>583</v>
      </c>
      <c r="D50" s="46">
        <v>9</v>
      </c>
      <c r="E50" s="48">
        <v>10.001469279946001</v>
      </c>
      <c r="F50" s="48">
        <v>0</v>
      </c>
    </row>
    <row r="51" spans="2:6">
      <c r="B51" s="46" t="s">
        <v>86</v>
      </c>
      <c r="C51" s="46" t="s">
        <v>584</v>
      </c>
      <c r="D51" s="46">
        <v>9</v>
      </c>
      <c r="E51" s="48">
        <v>27.710488062772541</v>
      </c>
      <c r="F51" s="48">
        <v>0</v>
      </c>
    </row>
    <row r="52" spans="2:6">
      <c r="B52" s="46" t="s">
        <v>87</v>
      </c>
      <c r="C52" s="46" t="s">
        <v>585</v>
      </c>
      <c r="D52" s="46">
        <v>9</v>
      </c>
      <c r="E52" s="48">
        <v>4.0372285384156346</v>
      </c>
      <c r="F52" s="48">
        <v>0</v>
      </c>
    </row>
    <row r="53" spans="2:6">
      <c r="B53" s="46" t="s">
        <v>88</v>
      </c>
      <c r="C53" s="46" t="s">
        <v>587</v>
      </c>
      <c r="D53" s="46">
        <v>9</v>
      </c>
      <c r="E53" s="48">
        <v>0</v>
      </c>
      <c r="F53" s="48">
        <v>0</v>
      </c>
    </row>
    <row r="54" spans="2:6">
      <c r="B54" s="46" t="s">
        <v>89</v>
      </c>
      <c r="C54" s="46" t="s">
        <v>586</v>
      </c>
      <c r="D54" s="46">
        <v>10</v>
      </c>
      <c r="E54" s="48">
        <v>44.42568</v>
      </c>
      <c r="F54" s="48">
        <v>0.53964966831079053</v>
      </c>
    </row>
    <row r="55" spans="2:6">
      <c r="B55" s="46" t="s">
        <v>90</v>
      </c>
      <c r="C55" s="46" t="s">
        <v>583</v>
      </c>
      <c r="D55" s="46">
        <v>10</v>
      </c>
      <c r="E55" s="48">
        <v>12</v>
      </c>
      <c r="F55" s="48">
        <v>0</v>
      </c>
    </row>
    <row r="56" spans="2:6">
      <c r="B56" s="46" t="s">
        <v>91</v>
      </c>
      <c r="C56" s="46" t="s">
        <v>584</v>
      </c>
      <c r="D56" s="46">
        <v>10</v>
      </c>
      <c r="E56" s="48">
        <v>33.111378562468197</v>
      </c>
      <c r="F56" s="48">
        <v>0</v>
      </c>
    </row>
    <row r="57" spans="2:6">
      <c r="B57" s="46" t="s">
        <v>92</v>
      </c>
      <c r="C57" s="46" t="s">
        <v>585</v>
      </c>
      <c r="D57" s="46">
        <v>10</v>
      </c>
      <c r="E57" s="48">
        <v>0</v>
      </c>
      <c r="F57" s="48">
        <v>0</v>
      </c>
    </row>
    <row r="58" spans="2:6">
      <c r="B58" s="46" t="s">
        <v>93</v>
      </c>
      <c r="C58" s="46" t="s">
        <v>587</v>
      </c>
      <c r="D58" s="46">
        <v>10</v>
      </c>
      <c r="E58" s="48">
        <v>0</v>
      </c>
      <c r="F58" s="48">
        <v>0</v>
      </c>
    </row>
    <row r="59" spans="2:6">
      <c r="B59" s="46" t="s">
        <v>94</v>
      </c>
      <c r="C59" s="46" t="s">
        <v>586</v>
      </c>
      <c r="D59" s="46">
        <v>11</v>
      </c>
      <c r="E59" s="48">
        <v>44.42568</v>
      </c>
      <c r="F59" s="48">
        <v>1</v>
      </c>
    </row>
    <row r="60" spans="2:6">
      <c r="B60" s="46" t="s">
        <v>95</v>
      </c>
      <c r="C60" s="46" t="s">
        <v>583</v>
      </c>
      <c r="D60" s="46">
        <v>11</v>
      </c>
      <c r="E60" s="48">
        <v>12</v>
      </c>
      <c r="F60" s="48">
        <v>0</v>
      </c>
    </row>
    <row r="61" spans="2:6">
      <c r="B61" s="46" t="s">
        <v>96</v>
      </c>
      <c r="C61" s="46" t="s">
        <v>584</v>
      </c>
      <c r="D61" s="46">
        <v>11</v>
      </c>
      <c r="E61" s="48">
        <v>28.789857535321044</v>
      </c>
      <c r="F61" s="48">
        <v>0</v>
      </c>
    </row>
    <row r="62" spans="2:6">
      <c r="B62" s="46" t="s">
        <v>97</v>
      </c>
      <c r="C62" s="46" t="s">
        <v>585</v>
      </c>
      <c r="D62" s="46">
        <v>11</v>
      </c>
      <c r="E62" s="48">
        <v>5.3378255457207731</v>
      </c>
      <c r="F62" s="48">
        <v>0</v>
      </c>
    </row>
    <row r="63" spans="2:6">
      <c r="B63" s="46" t="s">
        <v>98</v>
      </c>
      <c r="C63" s="46" t="s">
        <v>587</v>
      </c>
      <c r="D63" s="46">
        <v>11</v>
      </c>
      <c r="E63" s="48">
        <v>1.5201161916854553</v>
      </c>
      <c r="F63" s="48">
        <v>0</v>
      </c>
    </row>
    <row r="64" spans="2:6">
      <c r="B64" s="46" t="s">
        <v>99</v>
      </c>
      <c r="C64" s="46" t="s">
        <v>586</v>
      </c>
      <c r="D64" s="46">
        <v>12</v>
      </c>
      <c r="E64" s="48">
        <v>44.42568</v>
      </c>
      <c r="F64" s="48">
        <v>1</v>
      </c>
    </row>
    <row r="65" spans="2:6">
      <c r="B65" s="46" t="s">
        <v>100</v>
      </c>
      <c r="C65" s="46" t="s">
        <v>583</v>
      </c>
      <c r="D65" s="46">
        <v>12</v>
      </c>
      <c r="E65" s="48">
        <v>12</v>
      </c>
      <c r="F65" s="48">
        <v>0</v>
      </c>
    </row>
    <row r="66" spans="2:6">
      <c r="B66" s="46" t="s">
        <v>101</v>
      </c>
      <c r="C66" s="46" t="s">
        <v>584</v>
      </c>
      <c r="D66" s="46">
        <v>12</v>
      </c>
      <c r="E66" s="48">
        <v>25.403475698517035</v>
      </c>
      <c r="F66" s="48">
        <v>0</v>
      </c>
    </row>
    <row r="67" spans="2:6">
      <c r="B67" s="46" t="s">
        <v>102</v>
      </c>
      <c r="C67" s="46" t="s">
        <v>585</v>
      </c>
      <c r="D67" s="46">
        <v>12</v>
      </c>
      <c r="E67" s="48">
        <v>5.3375058873689021</v>
      </c>
      <c r="F67" s="48">
        <v>0</v>
      </c>
    </row>
    <row r="68" spans="2:6">
      <c r="B68" s="46" t="s">
        <v>103</v>
      </c>
      <c r="C68" s="46" t="s">
        <v>587</v>
      </c>
      <c r="D68" s="46">
        <v>12</v>
      </c>
      <c r="E68" s="48">
        <v>4.9068176868413298</v>
      </c>
      <c r="F68" s="48">
        <v>0</v>
      </c>
    </row>
    <row r="69" spans="2:6">
      <c r="B69" s="46" t="s">
        <v>104</v>
      </c>
      <c r="C69" s="46" t="s">
        <v>586</v>
      </c>
      <c r="D69" s="46">
        <v>13</v>
      </c>
      <c r="E69" s="48">
        <v>44.42568</v>
      </c>
      <c r="F69" s="48">
        <v>0.53964966831079053</v>
      </c>
    </row>
    <row r="70" spans="2:6">
      <c r="B70" s="46" t="s">
        <v>105</v>
      </c>
      <c r="C70" s="46" t="s">
        <v>583</v>
      </c>
      <c r="D70" s="46">
        <v>13</v>
      </c>
      <c r="E70" s="48">
        <v>0</v>
      </c>
      <c r="F70" s="48">
        <v>0</v>
      </c>
    </row>
    <row r="71" spans="2:6">
      <c r="B71" s="46" t="s">
        <v>106</v>
      </c>
      <c r="C71" s="46" t="s">
        <v>584</v>
      </c>
      <c r="D71" s="46">
        <v>13</v>
      </c>
      <c r="E71" s="48">
        <v>1.4889005915968949</v>
      </c>
      <c r="F71" s="48">
        <v>0</v>
      </c>
    </row>
    <row r="72" spans="2:6">
      <c r="B72" s="46" t="s">
        <v>107</v>
      </c>
      <c r="C72" s="46" t="s">
        <v>585</v>
      </c>
      <c r="D72" s="46">
        <v>13</v>
      </c>
      <c r="E72" s="48">
        <v>0</v>
      </c>
      <c r="F72" s="48">
        <v>0</v>
      </c>
    </row>
    <row r="73" spans="2:6">
      <c r="B73" s="46" t="s">
        <v>108</v>
      </c>
      <c r="C73" s="46" t="s">
        <v>587</v>
      </c>
      <c r="D73" s="46">
        <v>13</v>
      </c>
      <c r="E73" s="48">
        <v>8.5211879360963447</v>
      </c>
      <c r="F73" s="48">
        <v>0</v>
      </c>
    </row>
    <row r="74" spans="2:6">
      <c r="B74" s="46" t="s">
        <v>109</v>
      </c>
      <c r="C74" s="46" t="s">
        <v>586</v>
      </c>
      <c r="D74" s="46">
        <v>14</v>
      </c>
      <c r="E74" s="48">
        <v>44.42568</v>
      </c>
      <c r="F74" s="48">
        <v>0.53964988782293455</v>
      </c>
    </row>
    <row r="75" spans="2:6">
      <c r="B75" s="46" t="s">
        <v>110</v>
      </c>
      <c r="C75" s="46" t="s">
        <v>583</v>
      </c>
      <c r="D75" s="46">
        <v>14</v>
      </c>
      <c r="E75" s="48">
        <v>12.000999999999999</v>
      </c>
      <c r="F75" s="48">
        <v>0</v>
      </c>
    </row>
    <row r="76" spans="2:6">
      <c r="B76" s="46" t="s">
        <v>111</v>
      </c>
      <c r="C76" s="46" t="s">
        <v>584</v>
      </c>
      <c r="D76" s="46">
        <v>14</v>
      </c>
      <c r="E76" s="48">
        <v>0.49709592983650763</v>
      </c>
      <c r="F76" s="48">
        <v>0</v>
      </c>
    </row>
    <row r="77" spans="2:6">
      <c r="B77" s="46" t="s">
        <v>112</v>
      </c>
      <c r="C77" s="46" t="s">
        <v>585</v>
      </c>
      <c r="D77" s="46">
        <v>14</v>
      </c>
      <c r="E77" s="48">
        <v>2.5456233829813724</v>
      </c>
      <c r="F77" s="48">
        <v>0</v>
      </c>
    </row>
    <row r="78" spans="2:6">
      <c r="B78" s="46" t="s">
        <v>113</v>
      </c>
      <c r="C78" s="46" t="s">
        <v>587</v>
      </c>
      <c r="D78" s="46">
        <v>14</v>
      </c>
      <c r="E78" s="48">
        <v>11.104892985265266</v>
      </c>
      <c r="F78" s="48">
        <v>0</v>
      </c>
    </row>
    <row r="79" spans="2:6">
      <c r="B79" s="46" t="s">
        <v>114</v>
      </c>
      <c r="C79" s="46" t="s">
        <v>586</v>
      </c>
      <c r="D79" s="46">
        <v>15</v>
      </c>
      <c r="E79" s="48">
        <v>44.42568</v>
      </c>
      <c r="F79" s="48">
        <v>0.53964966831079053</v>
      </c>
    </row>
    <row r="80" spans="2:6">
      <c r="B80" s="46" t="s">
        <v>115</v>
      </c>
      <c r="C80" s="46" t="s">
        <v>583</v>
      </c>
      <c r="D80" s="46">
        <v>15</v>
      </c>
      <c r="E80" s="48">
        <v>11.999680722147493</v>
      </c>
      <c r="F80" s="48">
        <v>0</v>
      </c>
    </row>
    <row r="81" spans="2:6">
      <c r="B81" s="46" t="s">
        <v>116</v>
      </c>
      <c r="C81" s="46" t="s">
        <v>584</v>
      </c>
      <c r="D81" s="46">
        <v>15</v>
      </c>
      <c r="E81" s="48">
        <v>12.889183489981406</v>
      </c>
      <c r="F81" s="48">
        <v>0</v>
      </c>
    </row>
    <row r="82" spans="2:6">
      <c r="B82" s="46" t="s">
        <v>117</v>
      </c>
      <c r="C82" s="46" t="s">
        <v>585</v>
      </c>
      <c r="D82" s="46">
        <v>15</v>
      </c>
      <c r="E82" s="48">
        <v>5.337824985431296</v>
      </c>
      <c r="F82" s="48">
        <v>0</v>
      </c>
    </row>
    <row r="83" spans="2:6">
      <c r="B83" s="46" t="s">
        <v>118</v>
      </c>
      <c r="C83" s="46" t="s">
        <v>587</v>
      </c>
      <c r="D83" s="46">
        <v>15</v>
      </c>
      <c r="E83" s="48">
        <v>13.876031560507789</v>
      </c>
      <c r="F83" s="48">
        <v>0</v>
      </c>
    </row>
    <row r="84" spans="2:6">
      <c r="B84" s="46" t="s">
        <v>119</v>
      </c>
      <c r="C84" s="46" t="s">
        <v>586</v>
      </c>
      <c r="D84" s="46">
        <v>16</v>
      </c>
      <c r="E84" s="48">
        <v>44.42568</v>
      </c>
      <c r="F84" s="48">
        <v>0.53964966831079053</v>
      </c>
    </row>
    <row r="85" spans="2:6">
      <c r="B85" s="46" t="s">
        <v>120</v>
      </c>
      <c r="C85" s="46" t="s">
        <v>583</v>
      </c>
      <c r="D85" s="46">
        <v>16</v>
      </c>
      <c r="E85" s="48">
        <v>12</v>
      </c>
      <c r="F85" s="48">
        <v>0</v>
      </c>
    </row>
    <row r="86" spans="2:6">
      <c r="B86" s="46" t="s">
        <v>121</v>
      </c>
      <c r="C86" s="46" t="s">
        <v>584</v>
      </c>
      <c r="D86" s="46">
        <v>16</v>
      </c>
      <c r="E86" s="48">
        <v>14.233739956668394</v>
      </c>
      <c r="F86" s="48">
        <v>0</v>
      </c>
    </row>
    <row r="87" spans="2:6">
      <c r="B87" s="46" t="s">
        <v>122</v>
      </c>
      <c r="C87" s="46" t="s">
        <v>585</v>
      </c>
      <c r="D87" s="46">
        <v>16</v>
      </c>
      <c r="E87" s="48">
        <v>5.3381455235013417</v>
      </c>
      <c r="F87" s="48">
        <v>0</v>
      </c>
    </row>
    <row r="88" spans="2:6">
      <c r="B88" s="46" t="s">
        <v>123</v>
      </c>
      <c r="C88" s="46" t="s">
        <v>587</v>
      </c>
      <c r="D88" s="46">
        <v>16</v>
      </c>
      <c r="E88" s="48">
        <v>13.875712350431852</v>
      </c>
      <c r="F88" s="48">
        <v>0</v>
      </c>
    </row>
    <row r="89" spans="2:6">
      <c r="B89" s="46" t="s">
        <v>124</v>
      </c>
      <c r="C89" s="46" t="s">
        <v>586</v>
      </c>
      <c r="D89" s="46">
        <v>17</v>
      </c>
      <c r="E89" s="48">
        <v>44.42568</v>
      </c>
      <c r="F89" s="48">
        <v>1</v>
      </c>
    </row>
    <row r="90" spans="2:6">
      <c r="B90" s="46" t="s">
        <v>125</v>
      </c>
      <c r="C90" s="46" t="s">
        <v>583</v>
      </c>
      <c r="D90" s="46">
        <v>17</v>
      </c>
      <c r="E90" s="48">
        <v>11.99904236977218</v>
      </c>
      <c r="F90" s="48">
        <v>0</v>
      </c>
    </row>
    <row r="91" spans="2:6">
      <c r="B91" s="46" t="s">
        <v>126</v>
      </c>
      <c r="C91" s="46" t="s">
        <v>584</v>
      </c>
      <c r="D91" s="46">
        <v>17</v>
      </c>
      <c r="E91" s="48">
        <v>16.434579273024656</v>
      </c>
      <c r="F91" s="48">
        <v>0</v>
      </c>
    </row>
    <row r="92" spans="2:6">
      <c r="B92" s="46" t="s">
        <v>127</v>
      </c>
      <c r="C92" s="46" t="s">
        <v>585</v>
      </c>
      <c r="D92" s="46">
        <v>17</v>
      </c>
      <c r="E92" s="48">
        <v>5.3384652754976205</v>
      </c>
      <c r="F92" s="48">
        <v>0</v>
      </c>
    </row>
    <row r="93" spans="2:6">
      <c r="B93" s="46" t="s">
        <v>128</v>
      </c>
      <c r="C93" s="46" t="s">
        <v>587</v>
      </c>
      <c r="D93" s="46">
        <v>17</v>
      </c>
      <c r="E93" s="48">
        <v>13.875712354432824</v>
      </c>
      <c r="F93" s="48">
        <v>0</v>
      </c>
    </row>
    <row r="94" spans="2:6">
      <c r="B94" s="46" t="s">
        <v>129</v>
      </c>
      <c r="C94" s="46" t="s">
        <v>586</v>
      </c>
      <c r="D94" s="46">
        <v>18</v>
      </c>
      <c r="E94" s="48">
        <v>44.42568</v>
      </c>
      <c r="F94" s="48">
        <v>1</v>
      </c>
    </row>
    <row r="95" spans="2:6">
      <c r="B95" s="46" t="s">
        <v>130</v>
      </c>
      <c r="C95" s="46" t="s">
        <v>583</v>
      </c>
      <c r="D95" s="46">
        <v>18</v>
      </c>
      <c r="E95" s="48">
        <v>12</v>
      </c>
      <c r="F95" s="48">
        <v>0</v>
      </c>
    </row>
    <row r="96" spans="2:6">
      <c r="B96" s="46" t="s">
        <v>131</v>
      </c>
      <c r="C96" s="46" t="s">
        <v>584</v>
      </c>
      <c r="D96" s="46">
        <v>18</v>
      </c>
      <c r="E96" s="48">
        <v>16.432983259359865</v>
      </c>
      <c r="F96" s="48">
        <v>0</v>
      </c>
    </row>
    <row r="97" spans="2:6">
      <c r="B97" s="46" t="s">
        <v>132</v>
      </c>
      <c r="C97" s="46" t="s">
        <v>585</v>
      </c>
      <c r="D97" s="46">
        <v>18</v>
      </c>
      <c r="E97" s="48">
        <v>5.3384652033091893</v>
      </c>
      <c r="F97" s="48">
        <v>0</v>
      </c>
    </row>
    <row r="98" spans="2:6">
      <c r="B98" s="46" t="s">
        <v>133</v>
      </c>
      <c r="C98" s="46" t="s">
        <v>587</v>
      </c>
      <c r="D98" s="46">
        <v>18</v>
      </c>
      <c r="E98" s="48">
        <v>13.876350810058225</v>
      </c>
      <c r="F98" s="48">
        <v>0</v>
      </c>
    </row>
    <row r="99" spans="2:6">
      <c r="B99" s="46" t="s">
        <v>134</v>
      </c>
      <c r="C99" s="46" t="s">
        <v>586</v>
      </c>
      <c r="D99" s="46">
        <v>19</v>
      </c>
      <c r="E99" s="48">
        <v>44.42568</v>
      </c>
      <c r="F99" s="48">
        <v>1</v>
      </c>
    </row>
    <row r="100" spans="2:6">
      <c r="B100" s="46" t="s">
        <v>135</v>
      </c>
      <c r="C100" s="46" t="s">
        <v>583</v>
      </c>
      <c r="D100" s="46">
        <v>19</v>
      </c>
      <c r="E100" s="48">
        <v>11.999361512071546</v>
      </c>
      <c r="F100" s="48">
        <v>0</v>
      </c>
    </row>
    <row r="101" spans="2:6">
      <c r="B101" s="46" t="s">
        <v>136</v>
      </c>
      <c r="C101" s="46" t="s">
        <v>584</v>
      </c>
      <c r="D101" s="46">
        <v>19</v>
      </c>
      <c r="E101" s="48">
        <v>16.434579460561849</v>
      </c>
      <c r="F101" s="48">
        <v>0</v>
      </c>
    </row>
    <row r="102" spans="2:6">
      <c r="B102" s="46" t="s">
        <v>137</v>
      </c>
      <c r="C102" s="46" t="s">
        <v>585</v>
      </c>
      <c r="D102" s="46">
        <v>19</v>
      </c>
      <c r="E102" s="48">
        <v>5.3378267396100263</v>
      </c>
      <c r="F102" s="48">
        <v>0</v>
      </c>
    </row>
    <row r="103" spans="2:6">
      <c r="B103" s="46" t="s">
        <v>138</v>
      </c>
      <c r="C103" s="46" t="s">
        <v>587</v>
      </c>
      <c r="D103" s="46">
        <v>19</v>
      </c>
      <c r="E103" s="48">
        <v>13.876031560483856</v>
      </c>
      <c r="F103" s="48">
        <v>0</v>
      </c>
    </row>
    <row r="104" spans="2:6">
      <c r="B104" s="46" t="s">
        <v>139</v>
      </c>
      <c r="C104" s="46" t="s">
        <v>586</v>
      </c>
      <c r="D104" s="46">
        <v>20</v>
      </c>
      <c r="E104" s="48">
        <v>44.42568</v>
      </c>
      <c r="F104" s="48">
        <v>0.53964966831079053</v>
      </c>
    </row>
    <row r="105" spans="2:6">
      <c r="B105" s="46" t="s">
        <v>140</v>
      </c>
      <c r="C105" s="46" t="s">
        <v>583</v>
      </c>
      <c r="D105" s="46">
        <v>20</v>
      </c>
      <c r="E105" s="48">
        <v>12</v>
      </c>
      <c r="F105" s="48">
        <v>0</v>
      </c>
    </row>
    <row r="106" spans="2:6">
      <c r="B106" s="46" t="s">
        <v>141</v>
      </c>
      <c r="C106" s="46" t="s">
        <v>584</v>
      </c>
      <c r="D106" s="46">
        <v>20</v>
      </c>
      <c r="E106" s="48">
        <v>8.2834839850973498</v>
      </c>
      <c r="F106" s="48">
        <v>0</v>
      </c>
    </row>
    <row r="107" spans="2:6">
      <c r="B107" s="46" t="s">
        <v>142</v>
      </c>
      <c r="C107" s="46" t="s">
        <v>585</v>
      </c>
      <c r="D107" s="46">
        <v>20</v>
      </c>
      <c r="E107" s="48">
        <v>5.2092048566069726</v>
      </c>
      <c r="F107" s="48">
        <v>0</v>
      </c>
    </row>
    <row r="108" spans="2:6">
      <c r="B108" s="46" t="s">
        <v>143</v>
      </c>
      <c r="C108" s="46" t="s">
        <v>587</v>
      </c>
      <c r="D108" s="46">
        <v>20</v>
      </c>
      <c r="E108" s="48">
        <v>13.768474455242643</v>
      </c>
      <c r="F108" s="48">
        <v>0</v>
      </c>
    </row>
    <row r="109" spans="2:6">
      <c r="B109" s="46" t="s">
        <v>144</v>
      </c>
      <c r="C109" s="46" t="s">
        <v>586</v>
      </c>
      <c r="D109" s="46">
        <v>21</v>
      </c>
      <c r="E109" s="48">
        <v>44.42568</v>
      </c>
      <c r="F109" s="48">
        <v>0.53964966831079053</v>
      </c>
    </row>
    <row r="110" spans="2:6">
      <c r="B110" s="46" t="s">
        <v>145</v>
      </c>
      <c r="C110" s="46" t="s">
        <v>583</v>
      </c>
      <c r="D110" s="46">
        <v>21</v>
      </c>
      <c r="E110" s="48">
        <v>12.000999999999999</v>
      </c>
      <c r="F110" s="48">
        <v>0</v>
      </c>
    </row>
    <row r="111" spans="2:6">
      <c r="B111" s="46" t="s">
        <v>146</v>
      </c>
      <c r="C111" s="46" t="s">
        <v>584</v>
      </c>
      <c r="D111" s="46">
        <v>21</v>
      </c>
      <c r="E111" s="48">
        <v>5.3717063530817359</v>
      </c>
      <c r="F111" s="48">
        <v>0</v>
      </c>
    </row>
    <row r="112" spans="2:6">
      <c r="B112" s="46" t="s">
        <v>147</v>
      </c>
      <c r="C112" s="46" t="s">
        <v>585</v>
      </c>
      <c r="D112" s="46">
        <v>21</v>
      </c>
      <c r="E112" s="48">
        <v>5.3197169434590874</v>
      </c>
      <c r="F112" s="48">
        <v>0</v>
      </c>
    </row>
    <row r="113" spans="2:6">
      <c r="B113" s="46" t="s">
        <v>148</v>
      </c>
      <c r="C113" s="46" t="s">
        <v>587</v>
      </c>
      <c r="D113" s="46">
        <v>21</v>
      </c>
      <c r="E113" s="48">
        <v>13.878985855338913</v>
      </c>
      <c r="F113" s="48">
        <v>0</v>
      </c>
    </row>
    <row r="114" spans="2:6">
      <c r="B114" s="46" t="s">
        <v>149</v>
      </c>
      <c r="C114" s="46" t="s">
        <v>586</v>
      </c>
      <c r="D114" s="46">
        <v>22</v>
      </c>
      <c r="E114" s="48">
        <v>44.42568</v>
      </c>
      <c r="F114" s="48">
        <v>0.53964966831079053</v>
      </c>
    </row>
    <row r="115" spans="2:6">
      <c r="B115" s="46" t="s">
        <v>150</v>
      </c>
      <c r="C115" s="46" t="s">
        <v>583</v>
      </c>
      <c r="D115" s="46">
        <v>22</v>
      </c>
      <c r="E115" s="48">
        <v>11.999680722147493</v>
      </c>
      <c r="F115" s="48">
        <v>0</v>
      </c>
    </row>
    <row r="116" spans="2:6">
      <c r="B116" s="46" t="s">
        <v>151</v>
      </c>
      <c r="C116" s="46" t="s">
        <v>584</v>
      </c>
      <c r="D116" s="46">
        <v>22</v>
      </c>
      <c r="E116" s="48">
        <v>10.737378411699085</v>
      </c>
      <c r="F116" s="48">
        <v>0</v>
      </c>
    </row>
    <row r="117" spans="2:6">
      <c r="B117" s="46" t="s">
        <v>152</v>
      </c>
      <c r="C117" s="46" t="s">
        <v>585</v>
      </c>
      <c r="D117" s="46">
        <v>22</v>
      </c>
      <c r="E117" s="48">
        <v>5.3378267436588667</v>
      </c>
      <c r="F117" s="48">
        <v>0</v>
      </c>
    </row>
    <row r="118" spans="2:6">
      <c r="B118" s="46" t="s">
        <v>153</v>
      </c>
      <c r="C118" s="46" t="s">
        <v>587</v>
      </c>
      <c r="D118" s="46">
        <v>22</v>
      </c>
      <c r="E118" s="48">
        <v>13.876031564508748</v>
      </c>
      <c r="F118" s="48">
        <v>0</v>
      </c>
    </row>
    <row r="119" spans="2:6">
      <c r="B119" s="46" t="s">
        <v>154</v>
      </c>
      <c r="C119" s="46" t="s">
        <v>586</v>
      </c>
      <c r="D119" s="46">
        <v>23</v>
      </c>
      <c r="E119" s="48">
        <v>44.42568</v>
      </c>
      <c r="F119" s="48">
        <v>0.53964966831079053</v>
      </c>
    </row>
    <row r="120" spans="2:6">
      <c r="B120" s="46" t="s">
        <v>155</v>
      </c>
      <c r="C120" s="46" t="s">
        <v>583</v>
      </c>
      <c r="D120" s="46">
        <v>23</v>
      </c>
      <c r="E120" s="48">
        <v>11.999680789924064</v>
      </c>
      <c r="F120" s="48">
        <v>0</v>
      </c>
    </row>
    <row r="121" spans="2:6">
      <c r="B121" s="46" t="s">
        <v>156</v>
      </c>
      <c r="C121" s="46" t="s">
        <v>584</v>
      </c>
      <c r="D121" s="46">
        <v>23</v>
      </c>
      <c r="E121" s="48">
        <v>11.879568393210825</v>
      </c>
      <c r="F121" s="48">
        <v>0</v>
      </c>
    </row>
    <row r="122" spans="2:6">
      <c r="B122" s="46" t="s">
        <v>157</v>
      </c>
      <c r="C122" s="46" t="s">
        <v>585</v>
      </c>
      <c r="D122" s="46">
        <v>23</v>
      </c>
      <c r="E122" s="48">
        <v>5.3384644087311601</v>
      </c>
      <c r="F122" s="48">
        <v>0</v>
      </c>
    </row>
    <row r="123" spans="2:6">
      <c r="B123" s="46" t="s">
        <v>158</v>
      </c>
      <c r="C123" s="46" t="s">
        <v>587</v>
      </c>
      <c r="D123" s="46">
        <v>23</v>
      </c>
      <c r="E123" s="48">
        <v>13.876350774584695</v>
      </c>
      <c r="F123" s="48">
        <v>0</v>
      </c>
    </row>
    <row r="124" spans="2:6">
      <c r="B124" s="46" t="s">
        <v>159</v>
      </c>
      <c r="C124" s="46" t="s">
        <v>586</v>
      </c>
      <c r="D124" s="46">
        <v>24</v>
      </c>
      <c r="E124" s="48">
        <v>44.425679999999993</v>
      </c>
      <c r="F124" s="48">
        <v>1</v>
      </c>
    </row>
    <row r="125" spans="2:6">
      <c r="B125" s="46" t="s">
        <v>160</v>
      </c>
      <c r="C125" s="46" t="s">
        <v>583</v>
      </c>
      <c r="D125" s="46">
        <v>24</v>
      </c>
      <c r="E125" s="48">
        <v>11.999361512071543</v>
      </c>
      <c r="F125" s="48">
        <v>0</v>
      </c>
    </row>
    <row r="126" spans="2:6">
      <c r="B126" s="46" t="s">
        <v>161</v>
      </c>
      <c r="C126" s="46" t="s">
        <v>584</v>
      </c>
      <c r="D126" s="46">
        <v>24</v>
      </c>
      <c r="E126" s="48">
        <v>16.433941848291415</v>
      </c>
      <c r="F126" s="48">
        <v>0</v>
      </c>
    </row>
    <row r="127" spans="2:6">
      <c r="B127" s="46" t="s">
        <v>162</v>
      </c>
      <c r="C127" s="46" t="s">
        <v>585</v>
      </c>
      <c r="D127" s="46">
        <v>24</v>
      </c>
      <c r="E127" s="48">
        <v>5.338145141804528</v>
      </c>
      <c r="F127" s="48">
        <v>0</v>
      </c>
    </row>
    <row r="128" spans="2:6">
      <c r="B128" s="46" t="s">
        <v>163</v>
      </c>
      <c r="C128" s="46" t="s">
        <v>587</v>
      </c>
      <c r="D128" s="46">
        <v>24</v>
      </c>
      <c r="E128" s="48">
        <v>13.876350770559794</v>
      </c>
      <c r="F128" s="48">
        <v>0</v>
      </c>
    </row>
    <row r="129" spans="2:6">
      <c r="B129" s="46" t="s">
        <v>164</v>
      </c>
      <c r="C129" s="46" t="s">
        <v>586</v>
      </c>
      <c r="D129" s="46">
        <v>25</v>
      </c>
      <c r="E129" s="48">
        <v>44.425679999999964</v>
      </c>
      <c r="F129" s="48">
        <v>1</v>
      </c>
    </row>
    <row r="130" spans="2:6">
      <c r="B130" s="46" t="s">
        <v>165</v>
      </c>
      <c r="C130" s="46" t="s">
        <v>583</v>
      </c>
      <c r="D130" s="46">
        <v>25</v>
      </c>
      <c r="E130" s="48">
        <v>11.99904236977218</v>
      </c>
      <c r="F130" s="48">
        <v>0</v>
      </c>
    </row>
    <row r="131" spans="2:6">
      <c r="B131" s="46" t="s">
        <v>166</v>
      </c>
      <c r="C131" s="46" t="s">
        <v>584</v>
      </c>
      <c r="D131" s="46">
        <v>25</v>
      </c>
      <c r="E131" s="48">
        <v>16.43458046237367</v>
      </c>
      <c r="F131" s="48">
        <v>0</v>
      </c>
    </row>
    <row r="132" spans="2:6">
      <c r="B132" s="46" t="s">
        <v>167</v>
      </c>
      <c r="C132" s="46" t="s">
        <v>585</v>
      </c>
      <c r="D132" s="46">
        <v>25</v>
      </c>
      <c r="E132" s="48">
        <v>5.3384640223969422</v>
      </c>
      <c r="F132" s="48">
        <v>0</v>
      </c>
    </row>
    <row r="133" spans="2:6">
      <c r="B133" s="46" t="s">
        <v>168</v>
      </c>
      <c r="C133" s="46" t="s">
        <v>587</v>
      </c>
      <c r="D133" s="46">
        <v>25</v>
      </c>
      <c r="E133" s="48">
        <v>13.875712418184484</v>
      </c>
      <c r="F133" s="48">
        <v>0</v>
      </c>
    </row>
    <row r="134" spans="2:6">
      <c r="B134" s="46" t="s">
        <v>169</v>
      </c>
      <c r="C134" s="46" t="s">
        <v>586</v>
      </c>
      <c r="D134" s="46">
        <v>26</v>
      </c>
      <c r="E134" s="48">
        <v>44.425679999999964</v>
      </c>
      <c r="F134" s="48">
        <v>1</v>
      </c>
    </row>
    <row r="135" spans="2:6">
      <c r="B135" s="46" t="s">
        <v>170</v>
      </c>
      <c r="C135" s="46" t="s">
        <v>583</v>
      </c>
      <c r="D135" s="46">
        <v>26</v>
      </c>
      <c r="E135" s="48">
        <v>11.999680722147492</v>
      </c>
      <c r="F135" s="48">
        <v>0</v>
      </c>
    </row>
    <row r="136" spans="2:6">
      <c r="B136" s="46" t="s">
        <v>171</v>
      </c>
      <c r="C136" s="46" t="s">
        <v>584</v>
      </c>
      <c r="D136" s="46">
        <v>26</v>
      </c>
      <c r="E136" s="48">
        <v>16.434261655697512</v>
      </c>
      <c r="F136" s="48">
        <v>0</v>
      </c>
    </row>
    <row r="137" spans="2:6">
      <c r="B137" s="46" t="s">
        <v>172</v>
      </c>
      <c r="C137" s="46" t="s">
        <v>585</v>
      </c>
      <c r="D137" s="46">
        <v>26</v>
      </c>
      <c r="E137" s="48">
        <v>5.3381442701782236</v>
      </c>
      <c r="F137" s="48">
        <v>0</v>
      </c>
    </row>
    <row r="138" spans="2:6">
      <c r="B138" s="46" t="s">
        <v>173</v>
      </c>
      <c r="C138" s="46" t="s">
        <v>587</v>
      </c>
      <c r="D138" s="46">
        <v>26</v>
      </c>
      <c r="E138" s="48">
        <v>13.875712624704056</v>
      </c>
      <c r="F138" s="48">
        <v>0</v>
      </c>
    </row>
    <row r="139" spans="2:6">
      <c r="B139" s="46" t="s">
        <v>174</v>
      </c>
      <c r="C139" s="46" t="s">
        <v>586</v>
      </c>
      <c r="D139" s="46">
        <v>27</v>
      </c>
      <c r="E139" s="48">
        <v>44.425679999999971</v>
      </c>
      <c r="F139" s="48">
        <v>1</v>
      </c>
    </row>
    <row r="140" spans="2:6">
      <c r="B140" s="46" t="s">
        <v>175</v>
      </c>
      <c r="C140" s="46" t="s">
        <v>583</v>
      </c>
      <c r="D140" s="46">
        <v>27</v>
      </c>
      <c r="E140" s="48">
        <v>12</v>
      </c>
      <c r="F140" s="48">
        <v>0</v>
      </c>
    </row>
    <row r="141" spans="2:6">
      <c r="B141" s="46" t="s">
        <v>176</v>
      </c>
      <c r="C141" s="46" t="s">
        <v>584</v>
      </c>
      <c r="D141" s="46">
        <v>27</v>
      </c>
      <c r="E141" s="48">
        <v>16.394234460503156</v>
      </c>
      <c r="F141" s="48">
        <v>0</v>
      </c>
    </row>
    <row r="142" spans="2:6">
      <c r="B142" s="46" t="s">
        <v>177</v>
      </c>
      <c r="C142" s="46" t="s">
        <v>585</v>
      </c>
      <c r="D142" s="46">
        <v>27</v>
      </c>
      <c r="E142" s="48">
        <v>5.3378263351723403</v>
      </c>
      <c r="F142" s="48">
        <v>0</v>
      </c>
    </row>
    <row r="143" spans="2:6">
      <c r="B143" s="46" t="s">
        <v>178</v>
      </c>
      <c r="C143" s="46" t="s">
        <v>587</v>
      </c>
      <c r="D143" s="46">
        <v>27</v>
      </c>
      <c r="E143" s="48">
        <v>13.915738477051773</v>
      </c>
      <c r="F143" s="48">
        <v>0</v>
      </c>
    </row>
    <row r="144" spans="2:6">
      <c r="B144" s="46" t="s">
        <v>179</v>
      </c>
      <c r="C144" s="46" t="s">
        <v>586</v>
      </c>
      <c r="D144" s="46">
        <v>28</v>
      </c>
      <c r="E144" s="48">
        <v>9.2553499999999982</v>
      </c>
      <c r="F144" s="48">
        <v>0.53964960870614576</v>
      </c>
    </row>
    <row r="145" spans="2:6">
      <c r="B145" s="46" t="s">
        <v>180</v>
      </c>
      <c r="C145" s="46" t="s">
        <v>583</v>
      </c>
      <c r="D145" s="46">
        <v>28</v>
      </c>
      <c r="E145" s="48">
        <v>12</v>
      </c>
      <c r="F145" s="48">
        <v>0</v>
      </c>
    </row>
    <row r="146" spans="2:6">
      <c r="B146" s="46" t="s">
        <v>181</v>
      </c>
      <c r="C146" s="46" t="s">
        <v>584</v>
      </c>
      <c r="D146" s="46">
        <v>28</v>
      </c>
      <c r="E146" s="48">
        <v>5.2953634051258112</v>
      </c>
      <c r="F146" s="48">
        <v>0</v>
      </c>
    </row>
    <row r="147" spans="2:6">
      <c r="B147" s="46" t="s">
        <v>182</v>
      </c>
      <c r="C147" s="46" t="s">
        <v>585</v>
      </c>
      <c r="D147" s="46">
        <v>28</v>
      </c>
      <c r="E147" s="48">
        <v>1.4018511456785074</v>
      </c>
      <c r="F147" s="48">
        <v>0</v>
      </c>
    </row>
    <row r="148" spans="2:6">
      <c r="B148" s="46" t="s">
        <v>183</v>
      </c>
      <c r="C148" s="46" t="s">
        <v>587</v>
      </c>
      <c r="D148" s="46">
        <v>28</v>
      </c>
      <c r="E148" s="48">
        <v>7.7052780414883753</v>
      </c>
      <c r="F148" s="48">
        <v>0</v>
      </c>
    </row>
    <row r="149" spans="2:6">
      <c r="B149" s="46" t="s">
        <v>184</v>
      </c>
      <c r="C149" s="46" t="s">
        <v>586</v>
      </c>
      <c r="D149" s="46">
        <v>29</v>
      </c>
      <c r="E149" s="48">
        <v>11.10642</v>
      </c>
      <c r="F149" s="48">
        <v>0.53964966831079053</v>
      </c>
    </row>
    <row r="150" spans="2:6">
      <c r="B150" s="46" t="s">
        <v>185</v>
      </c>
      <c r="C150" s="46" t="s">
        <v>583</v>
      </c>
      <c r="D150" s="46">
        <v>29</v>
      </c>
      <c r="E150" s="48">
        <v>12.000999999999999</v>
      </c>
      <c r="F150" s="48">
        <v>0</v>
      </c>
    </row>
    <row r="151" spans="2:6">
      <c r="B151" s="46" t="s">
        <v>186</v>
      </c>
      <c r="C151" s="46" t="s">
        <v>584</v>
      </c>
      <c r="D151" s="46">
        <v>29</v>
      </c>
      <c r="E151" s="48">
        <v>13.332675423934678</v>
      </c>
      <c r="F151" s="48">
        <v>0</v>
      </c>
    </row>
    <row r="152" spans="2:6">
      <c r="B152" s="46" t="s">
        <v>187</v>
      </c>
      <c r="C152" s="46" t="s">
        <v>585</v>
      </c>
      <c r="D152" s="46">
        <v>29</v>
      </c>
      <c r="E152" s="48">
        <v>3.8978056672180124</v>
      </c>
      <c r="F152" s="48">
        <v>0</v>
      </c>
    </row>
    <row r="153" spans="2:6">
      <c r="B153" s="46" t="s">
        <v>188</v>
      </c>
      <c r="C153" s="46" t="s">
        <v>587</v>
      </c>
      <c r="D153" s="46">
        <v>29</v>
      </c>
      <c r="E153" s="48">
        <v>12.457394977250052</v>
      </c>
      <c r="F153" s="48">
        <v>0</v>
      </c>
    </row>
    <row r="154" spans="2:6">
      <c r="B154" s="46" t="s">
        <v>189</v>
      </c>
      <c r="C154" s="46" t="s">
        <v>586</v>
      </c>
      <c r="D154" s="46">
        <v>30</v>
      </c>
      <c r="E154" s="48">
        <v>44.42568</v>
      </c>
      <c r="F154" s="48">
        <v>0.53964966831079053</v>
      </c>
    </row>
    <row r="155" spans="2:6">
      <c r="B155" s="46" t="s">
        <v>190</v>
      </c>
      <c r="C155" s="46" t="s">
        <v>583</v>
      </c>
      <c r="D155" s="46">
        <v>30</v>
      </c>
      <c r="E155" s="48">
        <v>12</v>
      </c>
      <c r="F155" s="48">
        <v>0</v>
      </c>
    </row>
    <row r="156" spans="2:6">
      <c r="B156" s="46" t="s">
        <v>191</v>
      </c>
      <c r="C156" s="46" t="s">
        <v>584</v>
      </c>
      <c r="D156" s="46">
        <v>30</v>
      </c>
      <c r="E156" s="48">
        <v>14.638161037317323</v>
      </c>
      <c r="F156" s="48">
        <v>0</v>
      </c>
    </row>
    <row r="157" spans="2:6">
      <c r="B157" s="46" t="s">
        <v>192</v>
      </c>
      <c r="C157" s="46" t="s">
        <v>585</v>
      </c>
      <c r="D157" s="46">
        <v>30</v>
      </c>
      <c r="E157" s="48">
        <v>5.337506677910576</v>
      </c>
      <c r="F157" s="48">
        <v>0</v>
      </c>
    </row>
    <row r="158" spans="2:6">
      <c r="B158" s="46" t="s">
        <v>193</v>
      </c>
      <c r="C158" s="46" t="s">
        <v>587</v>
      </c>
      <c r="D158" s="46">
        <v>30</v>
      </c>
      <c r="E158" s="48">
        <v>13.875393237133791</v>
      </c>
      <c r="F158" s="48">
        <v>0</v>
      </c>
    </row>
    <row r="159" spans="2:6">
      <c r="B159" s="46" t="s">
        <v>194</v>
      </c>
      <c r="C159" s="46" t="s">
        <v>586</v>
      </c>
      <c r="D159" s="46">
        <v>31</v>
      </c>
      <c r="E159" s="48">
        <v>44.42568</v>
      </c>
      <c r="F159" s="48">
        <v>1</v>
      </c>
    </row>
    <row r="160" spans="2:6">
      <c r="B160" s="46" t="s">
        <v>195</v>
      </c>
      <c r="C160" s="46" t="s">
        <v>583</v>
      </c>
      <c r="D160" s="46">
        <v>31</v>
      </c>
      <c r="E160" s="48">
        <v>12</v>
      </c>
      <c r="F160" s="48">
        <v>0</v>
      </c>
    </row>
    <row r="161" spans="2:6">
      <c r="B161" s="46" t="s">
        <v>196</v>
      </c>
      <c r="C161" s="46" t="s">
        <v>584</v>
      </c>
      <c r="D161" s="46">
        <v>31</v>
      </c>
      <c r="E161" s="48">
        <v>16.434899424082076</v>
      </c>
      <c r="F161" s="48">
        <v>0</v>
      </c>
    </row>
    <row r="162" spans="2:6">
      <c r="B162" s="46" t="s">
        <v>197</v>
      </c>
      <c r="C162" s="46" t="s">
        <v>585</v>
      </c>
      <c r="D162" s="46">
        <v>31</v>
      </c>
      <c r="E162" s="48">
        <v>5.3375066857308218</v>
      </c>
      <c r="F162" s="48">
        <v>0</v>
      </c>
    </row>
    <row r="163" spans="2:6">
      <c r="B163" s="46" t="s">
        <v>198</v>
      </c>
      <c r="C163" s="46" t="s">
        <v>587</v>
      </c>
      <c r="D163" s="46">
        <v>31</v>
      </c>
      <c r="E163" s="48">
        <v>13.875393162914383</v>
      </c>
      <c r="F163" s="48">
        <v>0</v>
      </c>
    </row>
    <row r="164" spans="2:6">
      <c r="B164" s="46" t="s">
        <v>199</v>
      </c>
      <c r="C164" s="46" t="s">
        <v>20</v>
      </c>
      <c r="D164" s="46">
        <v>1</v>
      </c>
      <c r="E164" s="49">
        <v>0.16157455411571439</v>
      </c>
      <c r="F164" s="49">
        <v>0</v>
      </c>
    </row>
    <row r="165" spans="2:6">
      <c r="B165" s="46" t="s">
        <v>200</v>
      </c>
      <c r="C165" s="46" t="s">
        <v>20</v>
      </c>
      <c r="D165" s="46">
        <v>2</v>
      </c>
      <c r="E165" s="49">
        <v>0.16157455411571442</v>
      </c>
      <c r="F165" s="49">
        <v>0</v>
      </c>
    </row>
    <row r="166" spans="2:6">
      <c r="B166" s="46" t="s">
        <v>201</v>
      </c>
      <c r="C166" s="46" t="s">
        <v>20</v>
      </c>
      <c r="D166" s="46">
        <v>3</v>
      </c>
      <c r="E166" s="49">
        <v>0.16157455411571439</v>
      </c>
      <c r="F166" s="49">
        <v>0</v>
      </c>
    </row>
    <row r="167" spans="2:6">
      <c r="B167" s="46" t="s">
        <v>203</v>
      </c>
      <c r="C167" s="46" t="s">
        <v>20</v>
      </c>
      <c r="D167" s="46">
        <v>4</v>
      </c>
      <c r="E167" s="49">
        <v>0.16157455411571439</v>
      </c>
      <c r="F167" s="49">
        <v>0</v>
      </c>
    </row>
    <row r="168" spans="2:6">
      <c r="B168" s="46" t="s">
        <v>205</v>
      </c>
      <c r="C168" s="46" t="s">
        <v>20</v>
      </c>
      <c r="D168" s="46">
        <v>5</v>
      </c>
      <c r="E168" s="49">
        <v>0.16157455411571439</v>
      </c>
      <c r="F168" s="49">
        <v>0</v>
      </c>
    </row>
    <row r="169" spans="2:6">
      <c r="B169" s="46" t="s">
        <v>207</v>
      </c>
      <c r="C169" s="46" t="s">
        <v>20</v>
      </c>
      <c r="D169" s="46">
        <v>6</v>
      </c>
      <c r="E169" s="49">
        <v>0.16157455411571442</v>
      </c>
      <c r="F169" s="49">
        <v>0</v>
      </c>
    </row>
    <row r="170" spans="2:6">
      <c r="B170" s="46" t="s">
        <v>208</v>
      </c>
      <c r="C170" s="46" t="s">
        <v>20</v>
      </c>
      <c r="D170" s="46">
        <v>7</v>
      </c>
      <c r="E170" s="49">
        <v>0.17</v>
      </c>
      <c r="F170" s="49">
        <v>71.699769167335077</v>
      </c>
    </row>
    <row r="171" spans="2:6">
      <c r="B171" s="46" t="s">
        <v>210</v>
      </c>
      <c r="C171" s="46" t="s">
        <v>20</v>
      </c>
      <c r="D171" s="46">
        <v>8</v>
      </c>
      <c r="E171" s="49">
        <v>0.17</v>
      </c>
      <c r="F171" s="49">
        <v>68.45910141174538</v>
      </c>
    </row>
    <row r="172" spans="2:6">
      <c r="B172" s="46" t="s">
        <v>211</v>
      </c>
      <c r="C172" s="46" t="s">
        <v>20</v>
      </c>
      <c r="D172" s="46">
        <v>9</v>
      </c>
      <c r="E172" s="49">
        <v>0.17</v>
      </c>
      <c r="F172" s="49">
        <v>74.940436922924761</v>
      </c>
    </row>
    <row r="173" spans="2:6">
      <c r="B173" s="46" t="s">
        <v>212</v>
      </c>
      <c r="C173" s="46" t="s">
        <v>20</v>
      </c>
      <c r="D173" s="46">
        <v>10</v>
      </c>
      <c r="E173" s="49">
        <v>0.17</v>
      </c>
      <c r="F173" s="49">
        <v>78.99127490080312</v>
      </c>
    </row>
    <row r="174" spans="2:6">
      <c r="B174" s="46" t="s">
        <v>213</v>
      </c>
      <c r="C174" s="46" t="s">
        <v>20</v>
      </c>
      <c r="D174" s="46">
        <v>11</v>
      </c>
      <c r="E174" s="49">
        <v>0.16157455411571442</v>
      </c>
      <c r="F174" s="49">
        <v>0</v>
      </c>
    </row>
    <row r="175" spans="2:6">
      <c r="B175" s="46" t="s">
        <v>214</v>
      </c>
      <c r="C175" s="46" t="s">
        <v>20</v>
      </c>
      <c r="D175" s="46">
        <v>12</v>
      </c>
      <c r="E175" s="49">
        <v>0.16157455411571439</v>
      </c>
      <c r="F175" s="49">
        <v>0</v>
      </c>
    </row>
    <row r="176" spans="2:6">
      <c r="B176" s="46" t="s">
        <v>215</v>
      </c>
      <c r="C176" s="46" t="s">
        <v>20</v>
      </c>
      <c r="D176" s="46">
        <v>13</v>
      </c>
      <c r="E176" s="49">
        <v>0.17</v>
      </c>
      <c r="F176" s="49">
        <v>36.700558720322888</v>
      </c>
    </row>
    <row r="177" spans="2:6">
      <c r="B177" s="46" t="s">
        <v>216</v>
      </c>
      <c r="C177" s="46" t="s">
        <v>20</v>
      </c>
      <c r="D177" s="46">
        <v>14</v>
      </c>
      <c r="E177" s="49">
        <v>0.17</v>
      </c>
      <c r="F177" s="49">
        <v>56.144538482046094</v>
      </c>
    </row>
    <row r="178" spans="2:6">
      <c r="B178" s="46" t="s">
        <v>217</v>
      </c>
      <c r="C178" s="46" t="s">
        <v>20</v>
      </c>
      <c r="D178" s="46">
        <v>15</v>
      </c>
      <c r="E178" s="49">
        <v>0.17</v>
      </c>
      <c r="F178" s="49">
        <v>77.776019567370113</v>
      </c>
    </row>
    <row r="179" spans="2:6">
      <c r="B179" s="46" t="s">
        <v>218</v>
      </c>
      <c r="C179" s="46" t="s">
        <v>20</v>
      </c>
      <c r="D179" s="46">
        <v>16</v>
      </c>
      <c r="E179" s="49">
        <v>0.17</v>
      </c>
      <c r="F179" s="49">
        <v>79.396353445164962</v>
      </c>
    </row>
    <row r="180" spans="2:6">
      <c r="B180" s="46" t="s">
        <v>219</v>
      </c>
      <c r="C180" s="46" t="s">
        <v>20</v>
      </c>
      <c r="D180" s="46">
        <v>17</v>
      </c>
      <c r="E180" s="49">
        <v>0.16157455411571445</v>
      </c>
      <c r="F180" s="49">
        <v>0</v>
      </c>
    </row>
    <row r="181" spans="2:6">
      <c r="B181" s="46" t="s">
        <v>220</v>
      </c>
      <c r="C181" s="46" t="s">
        <v>20</v>
      </c>
      <c r="D181" s="46">
        <v>18</v>
      </c>
      <c r="E181" s="49">
        <v>0.16157455411571642</v>
      </c>
      <c r="F181" s="49">
        <v>0</v>
      </c>
    </row>
    <row r="182" spans="2:6">
      <c r="B182" s="46" t="s">
        <v>221</v>
      </c>
      <c r="C182" s="46" t="s">
        <v>20</v>
      </c>
      <c r="D182" s="46">
        <v>19</v>
      </c>
      <c r="E182" s="49">
        <v>0.16157455411571164</v>
      </c>
      <c r="F182" s="49">
        <v>0</v>
      </c>
    </row>
    <row r="183" spans="2:6">
      <c r="B183" s="46" t="s">
        <v>222</v>
      </c>
      <c r="C183" s="46" t="s">
        <v>20</v>
      </c>
      <c r="D183" s="46">
        <v>20</v>
      </c>
      <c r="E183" s="49">
        <v>0.17</v>
      </c>
      <c r="F183" s="49">
        <v>71.942818920665161</v>
      </c>
    </row>
    <row r="184" spans="2:6">
      <c r="B184" s="46" t="s">
        <v>223</v>
      </c>
      <c r="C184" s="46" t="s">
        <v>20</v>
      </c>
      <c r="D184" s="46">
        <v>21</v>
      </c>
      <c r="E184" s="49">
        <v>0.17</v>
      </c>
      <c r="F184" s="49">
        <v>68.702151165075477</v>
      </c>
    </row>
    <row r="185" spans="2:6">
      <c r="B185" s="46" t="s">
        <v>224</v>
      </c>
      <c r="C185" s="46" t="s">
        <v>20</v>
      </c>
      <c r="D185" s="46">
        <v>22</v>
      </c>
      <c r="E185" s="49">
        <v>0.17</v>
      </c>
      <c r="F185" s="49">
        <v>75.183486676254859</v>
      </c>
    </row>
    <row r="186" spans="2:6">
      <c r="B186" s="46" t="s">
        <v>225</v>
      </c>
      <c r="C186" s="46" t="s">
        <v>20</v>
      </c>
      <c r="D186" s="46">
        <v>23</v>
      </c>
      <c r="E186" s="49">
        <v>0.17</v>
      </c>
      <c r="F186" s="49">
        <v>76.560770800719595</v>
      </c>
    </row>
    <row r="187" spans="2:6">
      <c r="B187" s="46" t="s">
        <v>226</v>
      </c>
      <c r="C187" s="46" t="s">
        <v>20</v>
      </c>
      <c r="D187" s="46">
        <v>24</v>
      </c>
      <c r="E187" s="49">
        <v>0.1591158284679598</v>
      </c>
      <c r="F187" s="49">
        <v>0</v>
      </c>
    </row>
    <row r="188" spans="2:6">
      <c r="B188" s="46" t="s">
        <v>227</v>
      </c>
      <c r="C188" s="46" t="s">
        <v>20</v>
      </c>
      <c r="D188" s="46">
        <v>25</v>
      </c>
      <c r="E188" s="49">
        <v>0.15911582846795971</v>
      </c>
      <c r="F188" s="49">
        <v>0</v>
      </c>
    </row>
    <row r="189" spans="2:6">
      <c r="B189" s="46" t="s">
        <v>228</v>
      </c>
      <c r="C189" s="46" t="s">
        <v>20</v>
      </c>
      <c r="D189" s="46">
        <v>26</v>
      </c>
      <c r="E189" s="49">
        <v>0.15911582846795982</v>
      </c>
      <c r="F189" s="49">
        <v>0</v>
      </c>
    </row>
    <row r="190" spans="2:6">
      <c r="B190" s="46" t="s">
        <v>229</v>
      </c>
      <c r="C190" s="46" t="s">
        <v>20</v>
      </c>
      <c r="D190" s="46">
        <v>27</v>
      </c>
      <c r="E190" s="49">
        <v>0.15911582846795963</v>
      </c>
      <c r="F190" s="49">
        <v>0</v>
      </c>
    </row>
    <row r="191" spans="2:6">
      <c r="B191" s="46" t="s">
        <v>230</v>
      </c>
      <c r="C191" s="46" t="s">
        <v>20</v>
      </c>
      <c r="D191" s="46">
        <v>28</v>
      </c>
      <c r="E191" s="49">
        <v>0.17</v>
      </c>
      <c r="F191" s="49">
        <v>36.943611757044238</v>
      </c>
    </row>
    <row r="192" spans="2:6">
      <c r="B192" s="46" t="s">
        <v>231</v>
      </c>
      <c r="C192" s="46" t="s">
        <v>20</v>
      </c>
      <c r="D192" s="46">
        <v>29</v>
      </c>
      <c r="E192" s="49">
        <v>0.17</v>
      </c>
      <c r="F192" s="49">
        <v>56.387615007191144</v>
      </c>
    </row>
    <row r="193" spans="1:6">
      <c r="B193" s="46" t="s">
        <v>232</v>
      </c>
      <c r="C193" s="46" t="s">
        <v>20</v>
      </c>
      <c r="D193" s="46">
        <v>30</v>
      </c>
      <c r="E193" s="49">
        <v>0.17</v>
      </c>
      <c r="F193" s="49">
        <v>79.882452951825158</v>
      </c>
    </row>
    <row r="194" spans="1:6" ht="13.5" thickBot="1">
      <c r="B194" s="45" t="s">
        <v>233</v>
      </c>
      <c r="C194" s="46" t="s">
        <v>20</v>
      </c>
      <c r="D194" s="45">
        <v>31</v>
      </c>
      <c r="E194" s="50">
        <v>0.1591158284679598</v>
      </c>
      <c r="F194" s="50">
        <v>0</v>
      </c>
    </row>
    <row r="195" spans="1:6">
      <c r="C195" s="71"/>
    </row>
    <row r="196" spans="1:6" ht="13.5" thickBot="1">
      <c r="A196" t="s">
        <v>38</v>
      </c>
    </row>
    <row r="197" spans="1:6">
      <c r="B197" s="71"/>
      <c r="C197" s="71"/>
      <c r="D197" s="74" t="s">
        <v>0</v>
      </c>
      <c r="E197" s="71" t="s">
        <v>557</v>
      </c>
      <c r="F197" s="71" t="s">
        <v>561</v>
      </c>
    </row>
    <row r="198" spans="1:6" ht="13.5" thickBot="1">
      <c r="B198" s="72" t="s">
        <v>33</v>
      </c>
      <c r="C198" s="72" t="s">
        <v>34</v>
      </c>
      <c r="D198" s="75"/>
      <c r="E198" s="72" t="s">
        <v>558</v>
      </c>
      <c r="F198" s="72" t="s">
        <v>562</v>
      </c>
    </row>
    <row r="199" spans="1:6">
      <c r="B199" s="46" t="s">
        <v>234</v>
      </c>
      <c r="C199" s="46" t="s">
        <v>640</v>
      </c>
      <c r="D199" s="46"/>
      <c r="E199" s="48">
        <v>504.18346543112835</v>
      </c>
      <c r="F199" s="48">
        <v>0</v>
      </c>
    </row>
    <row r="200" spans="1:6">
      <c r="B200" s="46" t="s">
        <v>237</v>
      </c>
      <c r="C200" s="46" t="s">
        <v>641</v>
      </c>
      <c r="D200" s="46"/>
      <c r="E200" s="48">
        <v>1308.7064900000009</v>
      </c>
      <c r="F200" s="48">
        <v>0</v>
      </c>
    </row>
    <row r="201" spans="1:6">
      <c r="B201" s="46" t="s">
        <v>302</v>
      </c>
      <c r="C201" s="46" t="s">
        <v>642</v>
      </c>
      <c r="D201" s="46"/>
      <c r="E201" s="48">
        <v>310</v>
      </c>
      <c r="F201" s="48">
        <v>0</v>
      </c>
    </row>
    <row r="202" spans="1:6">
      <c r="B202" s="46" t="s">
        <v>304</v>
      </c>
      <c r="C202" s="46" t="s">
        <v>643</v>
      </c>
      <c r="D202" s="46"/>
      <c r="E202" s="48">
        <v>407.99999998797568</v>
      </c>
      <c r="F202" s="48">
        <v>0</v>
      </c>
    </row>
    <row r="203" spans="1:6">
      <c r="B203" s="46" t="s">
        <v>306</v>
      </c>
      <c r="C203" s="46" t="s">
        <v>644</v>
      </c>
      <c r="D203" s="46"/>
      <c r="E203" s="48">
        <v>103</v>
      </c>
      <c r="F203" s="48">
        <v>0</v>
      </c>
    </row>
    <row r="204" spans="1:6">
      <c r="B204" s="46" t="s">
        <v>239</v>
      </c>
      <c r="C204" s="46" t="s">
        <v>28</v>
      </c>
      <c r="D204" s="46">
        <v>1</v>
      </c>
      <c r="E204" s="48">
        <v>47.647799272727276</v>
      </c>
      <c r="F204" s="48">
        <v>0.99999999999999989</v>
      </c>
    </row>
    <row r="205" spans="1:6">
      <c r="B205" s="46" t="s">
        <v>242</v>
      </c>
      <c r="C205" s="46" t="s">
        <v>28</v>
      </c>
      <c r="D205" s="46">
        <v>2</v>
      </c>
      <c r="E205" s="48">
        <v>47.647799272727276</v>
      </c>
      <c r="F205" s="48">
        <v>0.99999999999999989</v>
      </c>
    </row>
    <row r="206" spans="1:6">
      <c r="B206" s="46" t="s">
        <v>244</v>
      </c>
      <c r="C206" s="46" t="s">
        <v>28</v>
      </c>
      <c r="D206" s="46">
        <v>3</v>
      </c>
      <c r="E206" s="48">
        <v>47.647799272727276</v>
      </c>
      <c r="F206" s="48">
        <v>0.99999999999999989</v>
      </c>
    </row>
    <row r="207" spans="1:6">
      <c r="B207" s="46" t="s">
        <v>246</v>
      </c>
      <c r="C207" s="46" t="s">
        <v>28</v>
      </c>
      <c r="D207" s="46">
        <v>4</v>
      </c>
      <c r="E207" s="48">
        <v>47.647799272727283</v>
      </c>
      <c r="F207" s="48">
        <v>0.99999999999999989</v>
      </c>
    </row>
    <row r="208" spans="1:6">
      <c r="B208" s="46" t="s">
        <v>248</v>
      </c>
      <c r="C208" s="46" t="s">
        <v>28</v>
      </c>
      <c r="D208" s="46">
        <v>5</v>
      </c>
      <c r="E208" s="48">
        <v>47.647799272727283</v>
      </c>
      <c r="F208" s="48">
        <v>0.99999999999999989</v>
      </c>
    </row>
    <row r="209" spans="2:6">
      <c r="B209" s="46" t="s">
        <v>250</v>
      </c>
      <c r="C209" s="46" t="s">
        <v>28</v>
      </c>
      <c r="D209" s="46">
        <v>6</v>
      </c>
      <c r="E209" s="48">
        <v>47.647799272727276</v>
      </c>
      <c r="F209" s="48">
        <v>0.99999999999999989</v>
      </c>
    </row>
    <row r="210" spans="2:6">
      <c r="B210" s="46" t="s">
        <v>252</v>
      </c>
      <c r="C210" s="46" t="s">
        <v>28</v>
      </c>
      <c r="D210" s="46">
        <v>7</v>
      </c>
      <c r="E210" s="48">
        <v>39.059431736066919</v>
      </c>
      <c r="F210" s="48">
        <v>0</v>
      </c>
    </row>
    <row r="211" spans="2:6">
      <c r="B211" s="46" t="s">
        <v>254</v>
      </c>
      <c r="C211" s="46" t="s">
        <v>28</v>
      </c>
      <c r="D211" s="46">
        <v>8</v>
      </c>
      <c r="E211" s="48">
        <v>36.369677591003601</v>
      </c>
      <c r="F211" s="48">
        <v>0</v>
      </c>
    </row>
    <row r="212" spans="2:6">
      <c r="B212" s="46" t="s">
        <v>256</v>
      </c>
      <c r="C212" s="46" t="s">
        <v>28</v>
      </c>
      <c r="D212" s="46">
        <v>9</v>
      </c>
      <c r="E212" s="48">
        <v>41.749185881134174</v>
      </c>
      <c r="F212" s="48">
        <v>0</v>
      </c>
    </row>
    <row r="213" spans="2:6">
      <c r="B213" s="46" t="s">
        <v>258</v>
      </c>
      <c r="C213" s="46" t="s">
        <v>28</v>
      </c>
      <c r="D213" s="46">
        <v>10</v>
      </c>
      <c r="E213" s="48">
        <v>45.111378562468197</v>
      </c>
      <c r="F213" s="48">
        <v>0</v>
      </c>
    </row>
    <row r="214" spans="2:6">
      <c r="B214" s="46" t="s">
        <v>260</v>
      </c>
      <c r="C214" s="46" t="s">
        <v>28</v>
      </c>
      <c r="D214" s="46">
        <v>11</v>
      </c>
      <c r="E214" s="48">
        <v>47.647799272727276</v>
      </c>
      <c r="F214" s="48">
        <v>0.99999999999999989</v>
      </c>
    </row>
    <row r="215" spans="2:6">
      <c r="B215" s="46" t="s">
        <v>262</v>
      </c>
      <c r="C215" s="46" t="s">
        <v>28</v>
      </c>
      <c r="D215" s="46">
        <v>12</v>
      </c>
      <c r="E215" s="48">
        <v>47.647799272727262</v>
      </c>
      <c r="F215" s="48">
        <v>0.99999999999999989</v>
      </c>
    </row>
    <row r="216" spans="2:6">
      <c r="B216" s="46" t="s">
        <v>264</v>
      </c>
      <c r="C216" s="46" t="s">
        <v>28</v>
      </c>
      <c r="D216" s="46">
        <v>13</v>
      </c>
      <c r="E216" s="48">
        <v>10.01008852769324</v>
      </c>
      <c r="F216" s="48">
        <v>0</v>
      </c>
    </row>
    <row r="217" spans="2:6">
      <c r="B217" s="46" t="s">
        <v>266</v>
      </c>
      <c r="C217" s="46" t="s">
        <v>28</v>
      </c>
      <c r="D217" s="46">
        <v>14</v>
      </c>
      <c r="E217" s="48">
        <v>26.148612298083144</v>
      </c>
      <c r="F217" s="48">
        <v>0</v>
      </c>
    </row>
    <row r="218" spans="2:6">
      <c r="B218" s="46" t="s">
        <v>268</v>
      </c>
      <c r="C218" s="46" t="s">
        <v>28</v>
      </c>
      <c r="D218" s="46">
        <v>15</v>
      </c>
      <c r="E218" s="48">
        <v>44.102720758067989</v>
      </c>
      <c r="F218" s="48">
        <v>0</v>
      </c>
    </row>
    <row r="219" spans="2:6">
      <c r="B219" s="46" t="s">
        <v>270</v>
      </c>
      <c r="C219" s="46" t="s">
        <v>28</v>
      </c>
      <c r="D219" s="46">
        <v>16</v>
      </c>
      <c r="E219" s="48">
        <v>45.447597830601588</v>
      </c>
      <c r="F219" s="48">
        <v>0</v>
      </c>
    </row>
    <row r="220" spans="2:6">
      <c r="B220" s="46" t="s">
        <v>272</v>
      </c>
      <c r="C220" s="46" t="s">
        <v>28</v>
      </c>
      <c r="D220" s="46">
        <v>17</v>
      </c>
      <c r="E220" s="48">
        <v>47.647799272727283</v>
      </c>
      <c r="F220" s="48">
        <v>0.99999999999999989</v>
      </c>
    </row>
    <row r="221" spans="2:6">
      <c r="B221" s="46" t="s">
        <v>274</v>
      </c>
      <c r="C221" s="46" t="s">
        <v>28</v>
      </c>
      <c r="D221" s="46">
        <v>18</v>
      </c>
      <c r="E221" s="48">
        <v>47.647799272727283</v>
      </c>
      <c r="F221" s="48">
        <v>0.99999999999999989</v>
      </c>
    </row>
    <row r="222" spans="2:6">
      <c r="B222" s="46" t="s">
        <v>276</v>
      </c>
      <c r="C222" s="46" t="s">
        <v>28</v>
      </c>
      <c r="D222" s="46">
        <v>19</v>
      </c>
      <c r="E222" s="48">
        <v>47.647799272727269</v>
      </c>
      <c r="F222" s="48">
        <v>0.99999999999999989</v>
      </c>
    </row>
    <row r="223" spans="2:6">
      <c r="B223" s="46" t="s">
        <v>278</v>
      </c>
      <c r="C223" s="46" t="s">
        <v>28</v>
      </c>
      <c r="D223" s="46">
        <v>20</v>
      </c>
      <c r="E223" s="48">
        <v>39.261163296946961</v>
      </c>
      <c r="F223" s="48">
        <v>0</v>
      </c>
    </row>
    <row r="224" spans="2:6">
      <c r="B224" s="46" t="s">
        <v>280</v>
      </c>
      <c r="C224" s="46" t="s">
        <v>28</v>
      </c>
      <c r="D224" s="46">
        <v>21</v>
      </c>
      <c r="E224" s="48">
        <v>36.571409151879735</v>
      </c>
      <c r="F224" s="48">
        <v>0</v>
      </c>
    </row>
    <row r="225" spans="2:6">
      <c r="B225" s="46" t="s">
        <v>282</v>
      </c>
      <c r="C225" s="46" t="s">
        <v>28</v>
      </c>
      <c r="D225" s="46">
        <v>22</v>
      </c>
      <c r="E225" s="48">
        <v>41.950917442014195</v>
      </c>
      <c r="F225" s="48">
        <v>0</v>
      </c>
    </row>
    <row r="226" spans="2:6">
      <c r="B226" s="46" t="s">
        <v>284</v>
      </c>
      <c r="C226" s="46" t="s">
        <v>28</v>
      </c>
      <c r="D226" s="46">
        <v>23</v>
      </c>
      <c r="E226" s="48">
        <v>43.094064366450745</v>
      </c>
      <c r="F226" s="48">
        <v>0</v>
      </c>
    </row>
    <row r="227" spans="2:6">
      <c r="B227" s="46" t="s">
        <v>286</v>
      </c>
      <c r="C227" s="46" t="s">
        <v>28</v>
      </c>
      <c r="D227" s="46">
        <v>24</v>
      </c>
      <c r="E227" s="48">
        <v>47.647799272727283</v>
      </c>
      <c r="F227" s="48">
        <v>1</v>
      </c>
    </row>
    <row r="228" spans="2:6">
      <c r="B228" s="46" t="s">
        <v>288</v>
      </c>
      <c r="C228" s="46" t="s">
        <v>28</v>
      </c>
      <c r="D228" s="46">
        <v>25</v>
      </c>
      <c r="E228" s="48">
        <v>47.647799272727276</v>
      </c>
      <c r="F228" s="48">
        <v>1</v>
      </c>
    </row>
    <row r="229" spans="2:6">
      <c r="B229" s="46" t="s">
        <v>290</v>
      </c>
      <c r="C229" s="46" t="s">
        <v>28</v>
      </c>
      <c r="D229" s="46">
        <v>26</v>
      </c>
      <c r="E229" s="48">
        <v>47.647799272727283</v>
      </c>
      <c r="F229" s="48">
        <v>1</v>
      </c>
    </row>
    <row r="230" spans="2:6">
      <c r="B230" s="46" t="s">
        <v>292</v>
      </c>
      <c r="C230" s="46" t="s">
        <v>28</v>
      </c>
      <c r="D230" s="46">
        <v>27</v>
      </c>
      <c r="E230" s="48">
        <v>47.647799272727269</v>
      </c>
      <c r="F230" s="48">
        <v>1</v>
      </c>
    </row>
    <row r="231" spans="2:6">
      <c r="B231" s="46" t="s">
        <v>294</v>
      </c>
      <c r="C231" s="46" t="s">
        <v>28</v>
      </c>
      <c r="D231" s="46">
        <v>28</v>
      </c>
      <c r="E231" s="48">
        <v>26.402492592292695</v>
      </c>
      <c r="F231" s="48">
        <v>0</v>
      </c>
    </row>
    <row r="232" spans="2:6">
      <c r="B232" s="46" t="s">
        <v>296</v>
      </c>
      <c r="C232" s="46" t="s">
        <v>28</v>
      </c>
      <c r="D232" s="46">
        <v>29</v>
      </c>
      <c r="E232" s="48">
        <v>41.688876068402742</v>
      </c>
      <c r="F232" s="48">
        <v>0</v>
      </c>
    </row>
    <row r="233" spans="2:6">
      <c r="B233" s="46" t="s">
        <v>298</v>
      </c>
      <c r="C233" s="46" t="s">
        <v>28</v>
      </c>
      <c r="D233" s="46">
        <v>30</v>
      </c>
      <c r="E233" s="48">
        <v>45.851060952361692</v>
      </c>
      <c r="F233" s="48">
        <v>0</v>
      </c>
    </row>
    <row r="234" spans="2:6">
      <c r="B234" s="46" t="s">
        <v>300</v>
      </c>
      <c r="C234" s="46" t="s">
        <v>28</v>
      </c>
      <c r="D234" s="46">
        <v>31</v>
      </c>
      <c r="E234" s="48">
        <v>47.647799272727283</v>
      </c>
      <c r="F234" s="48">
        <v>1</v>
      </c>
    </row>
    <row r="235" spans="2:6">
      <c r="B235" s="46" t="s">
        <v>308</v>
      </c>
      <c r="C235" s="46" t="s">
        <v>4</v>
      </c>
      <c r="D235" s="46">
        <v>1</v>
      </c>
      <c r="E235" s="48">
        <v>10230</v>
      </c>
      <c r="F235" s="48">
        <v>0</v>
      </c>
    </row>
    <row r="236" spans="2:6">
      <c r="B236" s="46" t="s">
        <v>310</v>
      </c>
      <c r="C236" s="46" t="s">
        <v>4</v>
      </c>
      <c r="D236" s="46">
        <v>2</v>
      </c>
      <c r="E236" s="48">
        <v>10230</v>
      </c>
      <c r="F236" s="48">
        <v>0</v>
      </c>
    </row>
    <row r="237" spans="2:6">
      <c r="B237" s="46" t="s">
        <v>312</v>
      </c>
      <c r="C237" s="46" t="s">
        <v>4</v>
      </c>
      <c r="D237" s="46">
        <v>3</v>
      </c>
      <c r="E237" s="48">
        <v>10230</v>
      </c>
      <c r="F237" s="48">
        <v>0</v>
      </c>
    </row>
    <row r="238" spans="2:6">
      <c r="B238" s="46" t="s">
        <v>314</v>
      </c>
      <c r="C238" s="46" t="s">
        <v>4</v>
      </c>
      <c r="D238" s="46">
        <v>4</v>
      </c>
      <c r="E238" s="48">
        <v>10230.000000000002</v>
      </c>
      <c r="F238" s="48">
        <v>0</v>
      </c>
    </row>
    <row r="239" spans="2:6">
      <c r="B239" s="46" t="s">
        <v>316</v>
      </c>
      <c r="C239" s="46" t="s">
        <v>4</v>
      </c>
      <c r="D239" s="46">
        <v>5</v>
      </c>
      <c r="E239" s="48">
        <v>10230.000000000002</v>
      </c>
      <c r="F239" s="48">
        <v>0</v>
      </c>
    </row>
    <row r="240" spans="2:6">
      <c r="B240" s="46" t="s">
        <v>318</v>
      </c>
      <c r="C240" s="46" t="s">
        <v>4</v>
      </c>
      <c r="D240" s="46">
        <v>6</v>
      </c>
      <c r="E240" s="48">
        <v>10230</v>
      </c>
      <c r="F240" s="48">
        <v>0</v>
      </c>
    </row>
    <row r="241" spans="2:6">
      <c r="B241" s="46" t="s">
        <v>320</v>
      </c>
      <c r="C241" s="46" t="s">
        <v>4</v>
      </c>
      <c r="D241" s="46">
        <v>7</v>
      </c>
      <c r="E241" s="48">
        <v>8849.9999410283617</v>
      </c>
      <c r="F241" s="48">
        <v>6.7243852645094866E-3</v>
      </c>
    </row>
    <row r="242" spans="2:6">
      <c r="B242" s="46" t="s">
        <v>322</v>
      </c>
      <c r="C242" s="46" t="s">
        <v>4</v>
      </c>
      <c r="D242" s="46">
        <v>8</v>
      </c>
      <c r="E242" s="48">
        <v>8449.9999225598676</v>
      </c>
      <c r="F242" s="48">
        <v>6.7243852645094866E-3</v>
      </c>
    </row>
    <row r="243" spans="2:6">
      <c r="B243" s="46" t="s">
        <v>324</v>
      </c>
      <c r="C243" s="46" t="s">
        <v>4</v>
      </c>
      <c r="D243" s="46">
        <v>9</v>
      </c>
      <c r="E243" s="48">
        <v>9249.9999594974379</v>
      </c>
      <c r="F243" s="48">
        <v>6.7243852645094866E-3</v>
      </c>
    </row>
    <row r="244" spans="2:6">
      <c r="B244" s="46" t="s">
        <v>326</v>
      </c>
      <c r="C244" s="46" t="s">
        <v>4</v>
      </c>
      <c r="D244" s="46">
        <v>10</v>
      </c>
      <c r="E244" s="48">
        <v>9749.9999825837804</v>
      </c>
      <c r="F244" s="48">
        <v>6.7243852645094866E-3</v>
      </c>
    </row>
    <row r="245" spans="2:6">
      <c r="B245" s="46" t="s">
        <v>328</v>
      </c>
      <c r="C245" s="46" t="s">
        <v>4</v>
      </c>
      <c r="D245" s="46">
        <v>11</v>
      </c>
      <c r="E245" s="48">
        <v>10230</v>
      </c>
      <c r="F245" s="48">
        <v>0</v>
      </c>
    </row>
    <row r="246" spans="2:6">
      <c r="B246" s="46" t="s">
        <v>330</v>
      </c>
      <c r="C246" s="46" t="s">
        <v>4</v>
      </c>
      <c r="D246" s="46">
        <v>12</v>
      </c>
      <c r="E246" s="48">
        <v>10229.999999999998</v>
      </c>
      <c r="F246" s="48">
        <v>0</v>
      </c>
    </row>
    <row r="247" spans="2:6">
      <c r="B247" s="46" t="s">
        <v>332</v>
      </c>
      <c r="C247" s="46" t="s">
        <v>4</v>
      </c>
      <c r="D247" s="46">
        <v>13</v>
      </c>
      <c r="E247" s="48">
        <v>4529.9999733088116</v>
      </c>
      <c r="F247" s="48">
        <v>6.7243852645094858E-3</v>
      </c>
    </row>
    <row r="248" spans="2:6">
      <c r="B248" s="46" t="s">
        <v>334</v>
      </c>
      <c r="C248" s="46" t="s">
        <v>4</v>
      </c>
      <c r="D248" s="46">
        <v>14</v>
      </c>
      <c r="E248" s="48">
        <v>6929.9999205375234</v>
      </c>
      <c r="F248" s="48">
        <v>6.7243820580727256E-3</v>
      </c>
    </row>
    <row r="249" spans="2:6">
      <c r="B249" s="46" t="s">
        <v>336</v>
      </c>
      <c r="C249" s="46" t="s">
        <v>4</v>
      </c>
      <c r="D249" s="46">
        <v>15</v>
      </c>
      <c r="E249" s="48">
        <v>9599.99997565788</v>
      </c>
      <c r="F249" s="48">
        <v>6.7243852645094858E-3</v>
      </c>
    </row>
    <row r="250" spans="2:6">
      <c r="B250" s="46" t="s">
        <v>338</v>
      </c>
      <c r="C250" s="46" t="s">
        <v>4</v>
      </c>
      <c r="D250" s="46">
        <v>16</v>
      </c>
      <c r="E250" s="48">
        <v>9799.9999848924144</v>
      </c>
      <c r="F250" s="48">
        <v>6.7243852645094858E-3</v>
      </c>
    </row>
    <row r="251" spans="2:6">
      <c r="B251" s="46" t="s">
        <v>340</v>
      </c>
      <c r="C251" s="46" t="s">
        <v>4</v>
      </c>
      <c r="D251" s="46">
        <v>17</v>
      </c>
      <c r="E251" s="48">
        <v>10230.000000000002</v>
      </c>
      <c r="F251" s="48">
        <v>0</v>
      </c>
    </row>
    <row r="252" spans="2:6">
      <c r="B252" s="46" t="s">
        <v>342</v>
      </c>
      <c r="C252" s="46" t="s">
        <v>4</v>
      </c>
      <c r="D252" s="46">
        <v>18</v>
      </c>
      <c r="E252" s="48">
        <v>10229.999999999976</v>
      </c>
      <c r="F252" s="48">
        <v>0</v>
      </c>
    </row>
    <row r="253" spans="2:6">
      <c r="B253" s="46" t="s">
        <v>344</v>
      </c>
      <c r="C253" s="46" t="s">
        <v>4</v>
      </c>
      <c r="D253" s="46">
        <v>19</v>
      </c>
      <c r="E253" s="48">
        <v>10230.000000000031</v>
      </c>
      <c r="F253" s="48">
        <v>0</v>
      </c>
    </row>
    <row r="254" spans="2:6">
      <c r="B254" s="46" t="s">
        <v>346</v>
      </c>
      <c r="C254" s="46" t="s">
        <v>4</v>
      </c>
      <c r="D254" s="46">
        <v>20</v>
      </c>
      <c r="E254" s="48">
        <v>8879.9999424135422</v>
      </c>
      <c r="F254" s="48">
        <v>6.7243852645094858E-3</v>
      </c>
    </row>
    <row r="255" spans="2:6">
      <c r="B255" s="46" t="s">
        <v>348</v>
      </c>
      <c r="C255" s="46" t="s">
        <v>4</v>
      </c>
      <c r="D255" s="46">
        <v>21</v>
      </c>
      <c r="E255" s="48">
        <v>8479.9999239444678</v>
      </c>
      <c r="F255" s="48">
        <v>6.7243852645094858E-3</v>
      </c>
    </row>
    <row r="256" spans="2:6">
      <c r="B256" s="46" t="s">
        <v>350</v>
      </c>
      <c r="C256" s="46" t="s">
        <v>4</v>
      </c>
      <c r="D256" s="46">
        <v>22</v>
      </c>
      <c r="E256" s="48">
        <v>9279.9999608826165</v>
      </c>
      <c r="F256" s="48">
        <v>6.7243852645094858E-3</v>
      </c>
    </row>
    <row r="257" spans="2:6">
      <c r="B257" s="46" t="s">
        <v>352</v>
      </c>
      <c r="C257" s="46" t="s">
        <v>4</v>
      </c>
      <c r="D257" s="46">
        <v>23</v>
      </c>
      <c r="E257" s="48">
        <v>9450.000178830438</v>
      </c>
      <c r="F257" s="48">
        <v>6.7243852645094858E-3</v>
      </c>
    </row>
    <row r="258" spans="2:6">
      <c r="B258" s="46" t="s">
        <v>354</v>
      </c>
      <c r="C258" s="46" t="s">
        <v>4</v>
      </c>
      <c r="D258" s="46">
        <v>24</v>
      </c>
      <c r="E258" s="48">
        <v>10260.000000000002</v>
      </c>
      <c r="F258" s="48">
        <v>0</v>
      </c>
    </row>
    <row r="259" spans="2:6">
      <c r="B259" s="46" t="s">
        <v>356</v>
      </c>
      <c r="C259" s="46" t="s">
        <v>4</v>
      </c>
      <c r="D259" s="46">
        <v>25</v>
      </c>
      <c r="E259" s="48">
        <v>10260</v>
      </c>
      <c r="F259" s="48">
        <v>0</v>
      </c>
    </row>
    <row r="260" spans="2:6">
      <c r="B260" s="46" t="s">
        <v>358</v>
      </c>
      <c r="C260" s="46" t="s">
        <v>4</v>
      </c>
      <c r="D260" s="46">
        <v>26</v>
      </c>
      <c r="E260" s="48">
        <v>10259.999999999998</v>
      </c>
      <c r="F260" s="48">
        <v>0</v>
      </c>
    </row>
    <row r="261" spans="2:6">
      <c r="B261" s="46" t="s">
        <v>360</v>
      </c>
      <c r="C261" s="46" t="s">
        <v>4</v>
      </c>
      <c r="D261" s="46">
        <v>27</v>
      </c>
      <c r="E261" s="48">
        <v>10259.999999999998</v>
      </c>
      <c r="F261" s="48">
        <v>0</v>
      </c>
    </row>
    <row r="262" spans="2:6">
      <c r="B262" s="46" t="s">
        <v>362</v>
      </c>
      <c r="C262" s="46" t="s">
        <v>4</v>
      </c>
      <c r="D262" s="46">
        <v>28</v>
      </c>
      <c r="E262" s="48">
        <v>4560</v>
      </c>
      <c r="F262" s="48">
        <v>6.7243852645094858E-3</v>
      </c>
    </row>
    <row r="263" spans="2:6">
      <c r="B263" s="46" t="s">
        <v>364</v>
      </c>
      <c r="C263" s="46" t="s">
        <v>4</v>
      </c>
      <c r="D263" s="46">
        <v>29</v>
      </c>
      <c r="E263" s="48">
        <v>6960.0000000000009</v>
      </c>
      <c r="F263" s="48">
        <v>6.7243852645094858E-3</v>
      </c>
    </row>
    <row r="264" spans="2:6">
      <c r="B264" s="46" t="s">
        <v>366</v>
      </c>
      <c r="C264" s="46" t="s">
        <v>4</v>
      </c>
      <c r="D264" s="46">
        <v>30</v>
      </c>
      <c r="E264" s="48">
        <v>9859.9999876627789</v>
      </c>
      <c r="F264" s="48">
        <v>6.7243852645094858E-3</v>
      </c>
    </row>
    <row r="265" spans="2:6" ht="13.5" thickBot="1">
      <c r="B265" s="45" t="s">
        <v>368</v>
      </c>
      <c r="C265" s="45" t="s">
        <v>4</v>
      </c>
      <c r="D265" s="46">
        <v>31</v>
      </c>
      <c r="E265" s="51">
        <v>10260.000000000002</v>
      </c>
      <c r="F265" s="51">
        <v>0</v>
      </c>
    </row>
  </sheetData>
  <mergeCells count="2">
    <mergeCell ref="D7:D8"/>
    <mergeCell ref="D197:D198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J198"/>
  <sheetViews>
    <sheetView showGridLines="0" topLeftCell="A163" workbookViewId="0">
      <selection sqref="A1:A3"/>
    </sheetView>
  </sheetViews>
  <sheetFormatPr defaultRowHeight="12.75"/>
  <cols>
    <col min="1" max="1" width="2.125" customWidth="1"/>
    <col min="2" max="2" width="6.75" customWidth="1"/>
    <col min="3" max="3" width="46" bestFit="1" customWidth="1"/>
    <col min="4" max="4" width="5.875" customWidth="1"/>
    <col min="5" max="5" width="2.125" customWidth="1"/>
    <col min="6" max="6" width="7.875" customWidth="1"/>
    <col min="7" max="7" width="10.125" bestFit="1" customWidth="1"/>
    <col min="8" max="8" width="2.125" customWidth="1"/>
    <col min="9" max="9" width="8.75" customWidth="1"/>
    <col min="10" max="10" width="10.125" bestFit="1" customWidth="1"/>
  </cols>
  <sheetData>
    <row r="1" spans="1:10">
      <c r="A1" s="1" t="s">
        <v>563</v>
      </c>
    </row>
    <row r="2" spans="1:10">
      <c r="A2" s="1" t="s">
        <v>564</v>
      </c>
    </row>
    <row r="3" spans="1:10">
      <c r="A3" s="1" t="s">
        <v>646</v>
      </c>
    </row>
    <row r="5" spans="1:10" ht="13.5" thickBot="1"/>
    <row r="6" spans="1:10">
      <c r="B6" s="71"/>
      <c r="C6" s="71" t="s">
        <v>565</v>
      </c>
      <c r="D6" s="71"/>
    </row>
    <row r="7" spans="1:10" ht="13.5" thickBot="1">
      <c r="B7" s="72" t="s">
        <v>33</v>
      </c>
      <c r="C7" s="72" t="s">
        <v>34</v>
      </c>
      <c r="D7" s="72" t="s">
        <v>558</v>
      </c>
    </row>
    <row r="8" spans="1:10" ht="13.5" thickBot="1">
      <c r="B8" s="45" t="s">
        <v>43</v>
      </c>
      <c r="C8" s="45" t="s">
        <v>578</v>
      </c>
      <c r="D8" s="47">
        <v>2633.8899554191053</v>
      </c>
    </row>
    <row r="10" spans="1:10" ht="13.5" thickBot="1"/>
    <row r="11" spans="1:10">
      <c r="B11" s="71"/>
      <c r="C11" s="71" t="s">
        <v>566</v>
      </c>
      <c r="D11" s="71"/>
      <c r="F11" s="71" t="s">
        <v>567</v>
      </c>
      <c r="G11" s="71" t="s">
        <v>565</v>
      </c>
      <c r="I11" s="71" t="s">
        <v>570</v>
      </c>
      <c r="J11" s="71" t="s">
        <v>565</v>
      </c>
    </row>
    <row r="12" spans="1:10" ht="13.5" thickBot="1">
      <c r="B12" s="72" t="s">
        <v>33</v>
      </c>
      <c r="C12" s="72" t="s">
        <v>34</v>
      </c>
      <c r="D12" s="72" t="s">
        <v>558</v>
      </c>
      <c r="F12" s="72" t="s">
        <v>568</v>
      </c>
      <c r="G12" s="72" t="s">
        <v>569</v>
      </c>
      <c r="I12" s="72" t="s">
        <v>568</v>
      </c>
      <c r="J12" s="72" t="s">
        <v>569</v>
      </c>
    </row>
    <row r="13" spans="1:10">
      <c r="B13" s="46" t="s">
        <v>44</v>
      </c>
      <c r="C13" s="46" t="s">
        <v>586</v>
      </c>
      <c r="D13" s="48">
        <v>44.425679999999993</v>
      </c>
      <c r="F13" s="46" t="s">
        <v>571</v>
      </c>
      <c r="G13" s="46" t="s">
        <v>571</v>
      </c>
      <c r="I13" s="46" t="s">
        <v>571</v>
      </c>
      <c r="J13" s="46" t="s">
        <v>571</v>
      </c>
    </row>
    <row r="14" spans="1:10">
      <c r="B14" s="46" t="s">
        <v>45</v>
      </c>
      <c r="C14" s="46" t="s">
        <v>583</v>
      </c>
      <c r="D14" s="48">
        <v>0</v>
      </c>
      <c r="F14" s="46" t="s">
        <v>571</v>
      </c>
      <c r="G14" s="46" t="s">
        <v>571</v>
      </c>
      <c r="I14" s="46" t="s">
        <v>571</v>
      </c>
      <c r="J14" s="46" t="s">
        <v>571</v>
      </c>
    </row>
    <row r="15" spans="1:10">
      <c r="B15" s="46" t="s">
        <v>46</v>
      </c>
      <c r="C15" s="46" t="s">
        <v>584</v>
      </c>
      <c r="D15" s="48">
        <v>0</v>
      </c>
      <c r="F15" s="46" t="s">
        <v>571</v>
      </c>
      <c r="G15" s="46" t="s">
        <v>571</v>
      </c>
      <c r="I15" s="46" t="s">
        <v>571</v>
      </c>
      <c r="J15" s="46" t="s">
        <v>571</v>
      </c>
    </row>
    <row r="16" spans="1:10">
      <c r="B16" s="46" t="s">
        <v>47</v>
      </c>
      <c r="C16" s="46" t="s">
        <v>585</v>
      </c>
      <c r="D16" s="48">
        <v>0</v>
      </c>
      <c r="F16" s="46" t="s">
        <v>571</v>
      </c>
      <c r="G16" s="46" t="s">
        <v>571</v>
      </c>
      <c r="I16" s="46" t="s">
        <v>571</v>
      </c>
      <c r="J16" s="46" t="s">
        <v>571</v>
      </c>
    </row>
    <row r="17" spans="2:10">
      <c r="B17" s="46" t="s">
        <v>48</v>
      </c>
      <c r="C17" s="46" t="s">
        <v>587</v>
      </c>
      <c r="D17" s="48">
        <v>47.647799272727276</v>
      </c>
      <c r="F17" s="46" t="s">
        <v>571</v>
      </c>
      <c r="G17" s="46" t="s">
        <v>571</v>
      </c>
      <c r="I17" s="46" t="s">
        <v>571</v>
      </c>
      <c r="J17" s="46" t="s">
        <v>571</v>
      </c>
    </row>
    <row r="18" spans="2:10">
      <c r="B18" s="46" t="s">
        <v>49</v>
      </c>
      <c r="C18" s="46" t="s">
        <v>586</v>
      </c>
      <c r="D18" s="48">
        <v>44.425679999999993</v>
      </c>
      <c r="F18" s="46" t="s">
        <v>571</v>
      </c>
      <c r="G18" s="46" t="s">
        <v>571</v>
      </c>
      <c r="I18" s="46" t="s">
        <v>571</v>
      </c>
      <c r="J18" s="46" t="s">
        <v>571</v>
      </c>
    </row>
    <row r="19" spans="2:10">
      <c r="B19" s="46" t="s">
        <v>50</v>
      </c>
      <c r="C19" s="46" t="s">
        <v>583</v>
      </c>
      <c r="D19" s="48">
        <v>0</v>
      </c>
      <c r="F19" s="46" t="s">
        <v>571</v>
      </c>
      <c r="G19" s="46" t="s">
        <v>571</v>
      </c>
      <c r="I19" s="46" t="s">
        <v>571</v>
      </c>
      <c r="J19" s="46" t="s">
        <v>571</v>
      </c>
    </row>
    <row r="20" spans="2:10">
      <c r="B20" s="46" t="s">
        <v>51</v>
      </c>
      <c r="C20" s="46" t="s">
        <v>584</v>
      </c>
      <c r="D20" s="48">
        <v>-9.9999999999944578E-4</v>
      </c>
      <c r="F20" s="46" t="s">
        <v>571</v>
      </c>
      <c r="G20" s="46" t="s">
        <v>571</v>
      </c>
      <c r="I20" s="46" t="s">
        <v>571</v>
      </c>
      <c r="J20" s="46" t="s">
        <v>571</v>
      </c>
    </row>
    <row r="21" spans="2:10">
      <c r="B21" s="46" t="s">
        <v>52</v>
      </c>
      <c r="C21" s="46" t="s">
        <v>585</v>
      </c>
      <c r="D21" s="48">
        <v>0</v>
      </c>
      <c r="F21" s="46" t="s">
        <v>571</v>
      </c>
      <c r="G21" s="46" t="s">
        <v>571</v>
      </c>
      <c r="I21" s="46" t="s">
        <v>571</v>
      </c>
      <c r="J21" s="46" t="s">
        <v>571</v>
      </c>
    </row>
    <row r="22" spans="2:10">
      <c r="B22" s="46" t="s">
        <v>53</v>
      </c>
      <c r="C22" s="46" t="s">
        <v>587</v>
      </c>
      <c r="D22" s="48">
        <v>47.648799272727274</v>
      </c>
      <c r="F22" s="46" t="s">
        <v>571</v>
      </c>
      <c r="G22" s="46" t="s">
        <v>571</v>
      </c>
      <c r="I22" s="46" t="s">
        <v>571</v>
      </c>
      <c r="J22" s="46" t="s">
        <v>571</v>
      </c>
    </row>
    <row r="23" spans="2:10">
      <c r="B23" s="46" t="s">
        <v>54</v>
      </c>
      <c r="C23" s="46" t="s">
        <v>590</v>
      </c>
      <c r="D23" s="48">
        <v>44.425679999999993</v>
      </c>
      <c r="F23" s="46" t="s">
        <v>571</v>
      </c>
      <c r="G23" s="46" t="s">
        <v>571</v>
      </c>
      <c r="I23" s="46" t="s">
        <v>571</v>
      </c>
      <c r="J23" s="46" t="s">
        <v>571</v>
      </c>
    </row>
    <row r="24" spans="2:10">
      <c r="B24" s="46" t="s">
        <v>55</v>
      </c>
      <c r="C24" s="46" t="s">
        <v>591</v>
      </c>
      <c r="D24" s="48">
        <v>-9.9999999999988987E-4</v>
      </c>
      <c r="F24" s="46" t="s">
        <v>571</v>
      </c>
      <c r="G24" s="46" t="s">
        <v>571</v>
      </c>
      <c r="I24" s="46" t="s">
        <v>571</v>
      </c>
      <c r="J24" s="46" t="s">
        <v>571</v>
      </c>
    </row>
    <row r="25" spans="2:10">
      <c r="B25" s="46" t="s">
        <v>56</v>
      </c>
      <c r="C25" s="46" t="s">
        <v>592</v>
      </c>
      <c r="D25" s="48">
        <v>-9.9999999999988987E-4</v>
      </c>
      <c r="F25" s="46" t="s">
        <v>571</v>
      </c>
      <c r="G25" s="46" t="s">
        <v>571</v>
      </c>
      <c r="I25" s="46" t="s">
        <v>571</v>
      </c>
      <c r="J25" s="46" t="s">
        <v>571</v>
      </c>
    </row>
    <row r="26" spans="2:10">
      <c r="B26" s="46" t="s">
        <v>57</v>
      </c>
      <c r="C26" s="46" t="s">
        <v>593</v>
      </c>
      <c r="D26" s="48">
        <v>-9.9999999999944578E-4</v>
      </c>
      <c r="F26" s="46" t="s">
        <v>571</v>
      </c>
      <c r="G26" s="46" t="s">
        <v>571</v>
      </c>
      <c r="I26" s="46" t="s">
        <v>571</v>
      </c>
      <c r="J26" s="46" t="s">
        <v>571</v>
      </c>
    </row>
    <row r="27" spans="2:10">
      <c r="B27" s="46" t="s">
        <v>58</v>
      </c>
      <c r="C27" s="46" t="s">
        <v>594</v>
      </c>
      <c r="D27" s="48">
        <v>47.650799272727276</v>
      </c>
      <c r="F27" s="46" t="s">
        <v>571</v>
      </c>
      <c r="G27" s="46" t="s">
        <v>571</v>
      </c>
      <c r="I27" s="46" t="s">
        <v>571</v>
      </c>
      <c r="J27" s="46" t="s">
        <v>571</v>
      </c>
    </row>
    <row r="28" spans="2:10">
      <c r="B28" s="46" t="s">
        <v>59</v>
      </c>
      <c r="C28" s="46" t="s">
        <v>595</v>
      </c>
      <c r="D28" s="48">
        <v>44.425679999999993</v>
      </c>
      <c r="F28" s="46" t="s">
        <v>571</v>
      </c>
      <c r="G28" s="46" t="s">
        <v>571</v>
      </c>
      <c r="I28" s="46" t="s">
        <v>571</v>
      </c>
      <c r="J28" s="46" t="s">
        <v>571</v>
      </c>
    </row>
    <row r="29" spans="2:10">
      <c r="B29" s="46" t="s">
        <v>60</v>
      </c>
      <c r="C29" s="46" t="s">
        <v>596</v>
      </c>
      <c r="D29" s="48">
        <v>12</v>
      </c>
      <c r="F29" s="46" t="s">
        <v>571</v>
      </c>
      <c r="G29" s="46" t="s">
        <v>571</v>
      </c>
      <c r="I29" s="46" t="s">
        <v>571</v>
      </c>
      <c r="J29" s="46" t="s">
        <v>571</v>
      </c>
    </row>
    <row r="30" spans="2:10">
      <c r="B30" s="46" t="s">
        <v>61</v>
      </c>
      <c r="C30" s="46" t="s">
        <v>597</v>
      </c>
      <c r="D30" s="48">
        <v>0</v>
      </c>
      <c r="F30" s="46" t="s">
        <v>571</v>
      </c>
      <c r="G30" s="46" t="s">
        <v>571</v>
      </c>
      <c r="I30" s="46" t="s">
        <v>571</v>
      </c>
      <c r="J30" s="46" t="s">
        <v>571</v>
      </c>
    </row>
    <row r="31" spans="2:10">
      <c r="B31" s="46" t="s">
        <v>62</v>
      </c>
      <c r="C31" s="46" t="s">
        <v>598</v>
      </c>
      <c r="D31" s="48">
        <v>-9.9999999999944578E-4</v>
      </c>
      <c r="F31" s="46" t="s">
        <v>571</v>
      </c>
      <c r="G31" s="46" t="s">
        <v>571</v>
      </c>
      <c r="I31" s="46" t="s">
        <v>571</v>
      </c>
      <c r="J31" s="46" t="s">
        <v>571</v>
      </c>
    </row>
    <row r="32" spans="2:10">
      <c r="B32" s="46" t="s">
        <v>63</v>
      </c>
      <c r="C32" s="46" t="s">
        <v>599</v>
      </c>
      <c r="D32" s="48">
        <v>35.648799272727281</v>
      </c>
      <c r="F32" s="46" t="s">
        <v>571</v>
      </c>
      <c r="G32" s="46" t="s">
        <v>571</v>
      </c>
      <c r="I32" s="46" t="s">
        <v>571</v>
      </c>
      <c r="J32" s="46" t="s">
        <v>571</v>
      </c>
    </row>
    <row r="33" spans="2:10">
      <c r="B33" s="46" t="s">
        <v>64</v>
      </c>
      <c r="C33" s="46" t="s">
        <v>600</v>
      </c>
      <c r="D33" s="48">
        <v>44.425679999999993</v>
      </c>
      <c r="F33" s="46" t="s">
        <v>571</v>
      </c>
      <c r="G33" s="46" t="s">
        <v>571</v>
      </c>
      <c r="I33" s="46" t="s">
        <v>571</v>
      </c>
      <c r="J33" s="46" t="s">
        <v>571</v>
      </c>
    </row>
    <row r="34" spans="2:10">
      <c r="B34" s="46" t="s">
        <v>65</v>
      </c>
      <c r="C34" s="46" t="s">
        <v>601</v>
      </c>
      <c r="D34" s="48">
        <v>12</v>
      </c>
      <c r="F34" s="46" t="s">
        <v>571</v>
      </c>
      <c r="G34" s="46" t="s">
        <v>571</v>
      </c>
      <c r="I34" s="46" t="s">
        <v>571</v>
      </c>
      <c r="J34" s="46" t="s">
        <v>571</v>
      </c>
    </row>
    <row r="35" spans="2:10">
      <c r="B35" s="46" t="s">
        <v>66</v>
      </c>
      <c r="C35" s="46" t="s">
        <v>602</v>
      </c>
      <c r="D35" s="48">
        <v>-9.9999999999988987E-4</v>
      </c>
      <c r="F35" s="46" t="s">
        <v>571</v>
      </c>
      <c r="G35" s="46" t="s">
        <v>571</v>
      </c>
      <c r="I35" s="46" t="s">
        <v>571</v>
      </c>
      <c r="J35" s="46" t="s">
        <v>571</v>
      </c>
    </row>
    <row r="36" spans="2:10">
      <c r="B36" s="46" t="s">
        <v>67</v>
      </c>
      <c r="C36" s="46" t="s">
        <v>603</v>
      </c>
      <c r="D36" s="48">
        <v>-9.9999999999988987E-4</v>
      </c>
      <c r="F36" s="46" t="s">
        <v>571</v>
      </c>
      <c r="G36" s="46" t="s">
        <v>571</v>
      </c>
      <c r="I36" s="46" t="s">
        <v>571</v>
      </c>
      <c r="J36" s="46" t="s">
        <v>571</v>
      </c>
    </row>
    <row r="37" spans="2:10">
      <c r="B37" s="46" t="s">
        <v>68</v>
      </c>
      <c r="C37" s="46" t="s">
        <v>604</v>
      </c>
      <c r="D37" s="48">
        <v>35.649799272727279</v>
      </c>
      <c r="F37" s="46" t="s">
        <v>571</v>
      </c>
      <c r="G37" s="46" t="s">
        <v>571</v>
      </c>
      <c r="I37" s="46" t="s">
        <v>571</v>
      </c>
      <c r="J37" s="46" t="s">
        <v>571</v>
      </c>
    </row>
    <row r="38" spans="2:10">
      <c r="B38" s="46" t="s">
        <v>69</v>
      </c>
      <c r="C38" s="46" t="s">
        <v>586</v>
      </c>
      <c r="D38" s="48">
        <v>44.425679999999993</v>
      </c>
      <c r="F38" s="46" t="s">
        <v>571</v>
      </c>
      <c r="G38" s="46" t="s">
        <v>571</v>
      </c>
      <c r="I38" s="46" t="s">
        <v>571</v>
      </c>
      <c r="J38" s="46" t="s">
        <v>571</v>
      </c>
    </row>
    <row r="39" spans="2:10">
      <c r="B39" s="46" t="s">
        <v>70</v>
      </c>
      <c r="C39" s="46" t="s">
        <v>583</v>
      </c>
      <c r="D39" s="48">
        <v>12</v>
      </c>
      <c r="F39" s="46" t="s">
        <v>571</v>
      </c>
      <c r="G39" s="46" t="s">
        <v>571</v>
      </c>
      <c r="I39" s="46" t="s">
        <v>571</v>
      </c>
      <c r="J39" s="46" t="s">
        <v>571</v>
      </c>
    </row>
    <row r="40" spans="2:10">
      <c r="B40" s="46" t="s">
        <v>71</v>
      </c>
      <c r="C40" s="46" t="s">
        <v>584</v>
      </c>
      <c r="D40" s="48">
        <v>0</v>
      </c>
      <c r="F40" s="46" t="s">
        <v>571</v>
      </c>
      <c r="G40" s="46" t="s">
        <v>571</v>
      </c>
      <c r="I40" s="46" t="s">
        <v>571</v>
      </c>
      <c r="J40" s="46" t="s">
        <v>571</v>
      </c>
    </row>
    <row r="41" spans="2:10">
      <c r="B41" s="46" t="s">
        <v>72</v>
      </c>
      <c r="C41" s="46" t="s">
        <v>585</v>
      </c>
      <c r="D41" s="48">
        <v>0</v>
      </c>
      <c r="F41" s="46" t="s">
        <v>571</v>
      </c>
      <c r="G41" s="46" t="s">
        <v>571</v>
      </c>
      <c r="I41" s="46" t="s">
        <v>571</v>
      </c>
      <c r="J41" s="46" t="s">
        <v>571</v>
      </c>
    </row>
    <row r="42" spans="2:10">
      <c r="B42" s="46" t="s">
        <v>73</v>
      </c>
      <c r="C42" s="46" t="s">
        <v>587</v>
      </c>
      <c r="D42" s="48">
        <v>35.647799272727276</v>
      </c>
      <c r="F42" s="46" t="s">
        <v>571</v>
      </c>
      <c r="G42" s="46" t="s">
        <v>571</v>
      </c>
      <c r="I42" s="46" t="s">
        <v>571</v>
      </c>
      <c r="J42" s="46" t="s">
        <v>571</v>
      </c>
    </row>
    <row r="43" spans="2:10">
      <c r="B43" s="46" t="s">
        <v>74</v>
      </c>
      <c r="C43" s="46" t="s">
        <v>605</v>
      </c>
      <c r="D43" s="48">
        <v>44.42568</v>
      </c>
      <c r="F43" s="46" t="s">
        <v>571</v>
      </c>
      <c r="G43" s="46" t="s">
        <v>571</v>
      </c>
      <c r="I43" s="46" t="s">
        <v>571</v>
      </c>
      <c r="J43" s="46" t="s">
        <v>571</v>
      </c>
    </row>
    <row r="44" spans="2:10">
      <c r="B44" s="46" t="s">
        <v>75</v>
      </c>
      <c r="C44" s="46" t="s">
        <v>606</v>
      </c>
      <c r="D44" s="48">
        <v>12.000999999999999</v>
      </c>
      <c r="F44" s="46" t="s">
        <v>571</v>
      </c>
      <c r="G44" s="46" t="s">
        <v>571</v>
      </c>
      <c r="I44" s="46" t="s">
        <v>571</v>
      </c>
      <c r="J44" s="46" t="s">
        <v>571</v>
      </c>
    </row>
    <row r="45" spans="2:10">
      <c r="B45" s="46" t="s">
        <v>76</v>
      </c>
      <c r="C45" s="46" t="s">
        <v>607</v>
      </c>
      <c r="D45" s="48">
        <v>27.058431736066922</v>
      </c>
      <c r="F45" s="46" t="s">
        <v>571</v>
      </c>
      <c r="G45" s="46" t="s">
        <v>571</v>
      </c>
      <c r="I45" s="46" t="s">
        <v>571</v>
      </c>
      <c r="J45" s="46" t="s">
        <v>571</v>
      </c>
    </row>
    <row r="46" spans="2:10">
      <c r="B46" s="46" t="s">
        <v>77</v>
      </c>
      <c r="C46" s="46" t="s">
        <v>608</v>
      </c>
      <c r="D46" s="48">
        <v>0</v>
      </c>
      <c r="F46" s="46" t="s">
        <v>571</v>
      </c>
      <c r="G46" s="46" t="s">
        <v>571</v>
      </c>
      <c r="I46" s="46" t="s">
        <v>571</v>
      </c>
      <c r="J46" s="46" t="s">
        <v>571</v>
      </c>
    </row>
    <row r="47" spans="2:10">
      <c r="B47" s="46" t="s">
        <v>78</v>
      </c>
      <c r="C47" s="46" t="s">
        <v>609</v>
      </c>
      <c r="D47" s="48">
        <v>0</v>
      </c>
      <c r="F47" s="46" t="s">
        <v>571</v>
      </c>
      <c r="G47" s="46" t="s">
        <v>571</v>
      </c>
      <c r="I47" s="46" t="s">
        <v>571</v>
      </c>
      <c r="J47" s="46" t="s">
        <v>571</v>
      </c>
    </row>
    <row r="48" spans="2:10">
      <c r="B48" s="46" t="s">
        <v>79</v>
      </c>
      <c r="C48" s="46" t="s">
        <v>610</v>
      </c>
      <c r="D48" s="48">
        <v>44.42568</v>
      </c>
      <c r="F48" s="46" t="s">
        <v>571</v>
      </c>
      <c r="G48" s="46" t="s">
        <v>571</v>
      </c>
      <c r="I48" s="46" t="s">
        <v>571</v>
      </c>
      <c r="J48" s="46" t="s">
        <v>571</v>
      </c>
    </row>
    <row r="49" spans="2:10">
      <c r="B49" s="46" t="s">
        <v>80</v>
      </c>
      <c r="C49" s="46" t="s">
        <v>611</v>
      </c>
      <c r="D49" s="48">
        <v>0</v>
      </c>
      <c r="F49" s="46" t="s">
        <v>571</v>
      </c>
      <c r="G49" s="46" t="s">
        <v>571</v>
      </c>
      <c r="I49" s="46" t="s">
        <v>571</v>
      </c>
      <c r="J49" s="46" t="s">
        <v>571</v>
      </c>
    </row>
    <row r="50" spans="2:10">
      <c r="B50" s="46" t="s">
        <v>81</v>
      </c>
      <c r="C50" s="46" t="s">
        <v>612</v>
      </c>
      <c r="D50" s="48">
        <v>35.848051571385795</v>
      </c>
      <c r="F50" s="46" t="s">
        <v>571</v>
      </c>
      <c r="G50" s="46" t="s">
        <v>571</v>
      </c>
      <c r="I50" s="46" t="s">
        <v>571</v>
      </c>
      <c r="J50" s="46" t="s">
        <v>571</v>
      </c>
    </row>
    <row r="51" spans="2:10">
      <c r="B51" s="46" t="s">
        <v>82</v>
      </c>
      <c r="C51" s="46" t="s">
        <v>613</v>
      </c>
      <c r="D51" s="48">
        <v>0.52162601961780442</v>
      </c>
      <c r="F51" s="46" t="s">
        <v>571</v>
      </c>
      <c r="G51" s="46" t="s">
        <v>571</v>
      </c>
      <c r="I51" s="46" t="s">
        <v>571</v>
      </c>
      <c r="J51" s="46" t="s">
        <v>571</v>
      </c>
    </row>
    <row r="52" spans="2:10">
      <c r="B52" s="46" t="s">
        <v>83</v>
      </c>
      <c r="C52" s="46" t="s">
        <v>614</v>
      </c>
      <c r="D52" s="48">
        <v>0</v>
      </c>
      <c r="F52" s="46" t="s">
        <v>571</v>
      </c>
      <c r="G52" s="46" t="s">
        <v>571</v>
      </c>
      <c r="I52" s="46" t="s">
        <v>571</v>
      </c>
      <c r="J52" s="46" t="s">
        <v>571</v>
      </c>
    </row>
    <row r="53" spans="2:10">
      <c r="B53" s="46" t="s">
        <v>84</v>
      </c>
      <c r="C53" s="46" t="s">
        <v>586</v>
      </c>
      <c r="D53" s="48">
        <v>44.42568</v>
      </c>
      <c r="F53" s="46" t="s">
        <v>571</v>
      </c>
      <c r="G53" s="46" t="s">
        <v>571</v>
      </c>
      <c r="I53" s="46" t="s">
        <v>571</v>
      </c>
      <c r="J53" s="46" t="s">
        <v>571</v>
      </c>
    </row>
    <row r="54" spans="2:10">
      <c r="B54" s="46" t="s">
        <v>85</v>
      </c>
      <c r="C54" s="46" t="s">
        <v>583</v>
      </c>
      <c r="D54" s="48">
        <v>10.001469279946001</v>
      </c>
      <c r="F54" s="46" t="s">
        <v>571</v>
      </c>
      <c r="G54" s="46" t="s">
        <v>571</v>
      </c>
      <c r="I54" s="46" t="s">
        <v>571</v>
      </c>
      <c r="J54" s="46" t="s">
        <v>571</v>
      </c>
    </row>
    <row r="55" spans="2:10">
      <c r="B55" s="46" t="s">
        <v>86</v>
      </c>
      <c r="C55" s="46" t="s">
        <v>584</v>
      </c>
      <c r="D55" s="48">
        <v>27.710488062772541</v>
      </c>
      <c r="F55" s="46" t="s">
        <v>571</v>
      </c>
      <c r="G55" s="46" t="s">
        <v>571</v>
      </c>
      <c r="I55" s="46" t="s">
        <v>571</v>
      </c>
      <c r="J55" s="46" t="s">
        <v>571</v>
      </c>
    </row>
    <row r="56" spans="2:10">
      <c r="B56" s="46" t="s">
        <v>87</v>
      </c>
      <c r="C56" s="46" t="s">
        <v>585</v>
      </c>
      <c r="D56" s="48">
        <v>4.0372285384156346</v>
      </c>
      <c r="F56" s="46" t="s">
        <v>571</v>
      </c>
      <c r="G56" s="46" t="s">
        <v>571</v>
      </c>
      <c r="I56" s="46" t="s">
        <v>571</v>
      </c>
      <c r="J56" s="46" t="s">
        <v>571</v>
      </c>
    </row>
    <row r="57" spans="2:10">
      <c r="B57" s="46" t="s">
        <v>88</v>
      </c>
      <c r="C57" s="46" t="s">
        <v>587</v>
      </c>
      <c r="D57" s="48">
        <v>0</v>
      </c>
      <c r="F57" s="46" t="s">
        <v>571</v>
      </c>
      <c r="G57" s="46" t="s">
        <v>571</v>
      </c>
      <c r="I57" s="46" t="s">
        <v>571</v>
      </c>
      <c r="J57" s="46" t="s">
        <v>571</v>
      </c>
    </row>
    <row r="58" spans="2:10">
      <c r="B58" s="46" t="s">
        <v>89</v>
      </c>
      <c r="C58" s="46" t="s">
        <v>615</v>
      </c>
      <c r="D58" s="48">
        <v>44.42568</v>
      </c>
      <c r="F58" s="46" t="s">
        <v>571</v>
      </c>
      <c r="G58" s="46" t="s">
        <v>571</v>
      </c>
      <c r="I58" s="46" t="s">
        <v>571</v>
      </c>
      <c r="J58" s="46" t="s">
        <v>571</v>
      </c>
    </row>
    <row r="59" spans="2:10">
      <c r="B59" s="46" t="s">
        <v>90</v>
      </c>
      <c r="C59" s="46" t="s">
        <v>616</v>
      </c>
      <c r="D59" s="48">
        <v>12</v>
      </c>
      <c r="F59" s="46" t="s">
        <v>571</v>
      </c>
      <c r="G59" s="46" t="s">
        <v>571</v>
      </c>
      <c r="I59" s="46" t="s">
        <v>571</v>
      </c>
      <c r="J59" s="46" t="s">
        <v>571</v>
      </c>
    </row>
    <row r="60" spans="2:10">
      <c r="B60" s="46" t="s">
        <v>91</v>
      </c>
      <c r="C60" s="46" t="s">
        <v>617</v>
      </c>
      <c r="D60" s="48">
        <v>33.111378562468197</v>
      </c>
      <c r="F60" s="46" t="s">
        <v>571</v>
      </c>
      <c r="G60" s="46" t="s">
        <v>571</v>
      </c>
      <c r="I60" s="46" t="s">
        <v>571</v>
      </c>
      <c r="J60" s="46" t="s">
        <v>571</v>
      </c>
    </row>
    <row r="61" spans="2:10">
      <c r="B61" s="46" t="s">
        <v>92</v>
      </c>
      <c r="C61" s="46" t="s">
        <v>618</v>
      </c>
      <c r="D61" s="48">
        <v>0</v>
      </c>
      <c r="F61" s="46" t="s">
        <v>571</v>
      </c>
      <c r="G61" s="46" t="s">
        <v>571</v>
      </c>
      <c r="I61" s="46" t="s">
        <v>571</v>
      </c>
      <c r="J61" s="46" t="s">
        <v>571</v>
      </c>
    </row>
    <row r="62" spans="2:10">
      <c r="B62" s="46" t="s">
        <v>93</v>
      </c>
      <c r="C62" s="46" t="s">
        <v>619</v>
      </c>
      <c r="D62" s="48">
        <v>0</v>
      </c>
      <c r="F62" s="46" t="s">
        <v>571</v>
      </c>
      <c r="G62" s="46" t="s">
        <v>571</v>
      </c>
      <c r="I62" s="46" t="s">
        <v>571</v>
      </c>
      <c r="J62" s="46" t="s">
        <v>571</v>
      </c>
    </row>
    <row r="63" spans="2:10">
      <c r="B63" s="46" t="s">
        <v>94</v>
      </c>
      <c r="C63" s="46" t="s">
        <v>620</v>
      </c>
      <c r="D63" s="48">
        <v>44.42568</v>
      </c>
      <c r="F63" s="46" t="s">
        <v>571</v>
      </c>
      <c r="G63" s="46" t="s">
        <v>571</v>
      </c>
      <c r="I63" s="46" t="s">
        <v>571</v>
      </c>
      <c r="J63" s="46" t="s">
        <v>571</v>
      </c>
    </row>
    <row r="64" spans="2:10">
      <c r="B64" s="46" t="s">
        <v>95</v>
      </c>
      <c r="C64" s="46" t="s">
        <v>621</v>
      </c>
      <c r="D64" s="48">
        <v>12</v>
      </c>
      <c r="F64" s="46" t="s">
        <v>571</v>
      </c>
      <c r="G64" s="46" t="s">
        <v>571</v>
      </c>
      <c r="I64" s="46" t="s">
        <v>571</v>
      </c>
      <c r="J64" s="46" t="s">
        <v>571</v>
      </c>
    </row>
    <row r="65" spans="2:10">
      <c r="B65" s="46" t="s">
        <v>96</v>
      </c>
      <c r="C65" s="46" t="s">
        <v>622</v>
      </c>
      <c r="D65" s="48">
        <v>28.789857535321044</v>
      </c>
      <c r="F65" s="46" t="s">
        <v>571</v>
      </c>
      <c r="G65" s="46" t="s">
        <v>571</v>
      </c>
      <c r="I65" s="46" t="s">
        <v>571</v>
      </c>
      <c r="J65" s="46" t="s">
        <v>571</v>
      </c>
    </row>
    <row r="66" spans="2:10">
      <c r="B66" s="46" t="s">
        <v>97</v>
      </c>
      <c r="C66" s="46" t="s">
        <v>623</v>
      </c>
      <c r="D66" s="48">
        <v>5.3378255457207731</v>
      </c>
      <c r="F66" s="46" t="s">
        <v>571</v>
      </c>
      <c r="G66" s="46" t="s">
        <v>571</v>
      </c>
      <c r="I66" s="46" t="s">
        <v>571</v>
      </c>
      <c r="J66" s="46" t="s">
        <v>571</v>
      </c>
    </row>
    <row r="67" spans="2:10">
      <c r="B67" s="46" t="s">
        <v>98</v>
      </c>
      <c r="C67" s="46" t="s">
        <v>624</v>
      </c>
      <c r="D67" s="48">
        <v>1.5201161916854553</v>
      </c>
      <c r="F67" s="46" t="s">
        <v>571</v>
      </c>
      <c r="G67" s="46" t="s">
        <v>571</v>
      </c>
      <c r="I67" s="46" t="s">
        <v>571</v>
      </c>
      <c r="J67" s="46" t="s">
        <v>571</v>
      </c>
    </row>
    <row r="68" spans="2:10">
      <c r="B68" s="46" t="s">
        <v>99</v>
      </c>
      <c r="C68" s="46" t="s">
        <v>625</v>
      </c>
      <c r="D68" s="48">
        <v>44.42568</v>
      </c>
      <c r="F68" s="46" t="s">
        <v>571</v>
      </c>
      <c r="G68" s="46" t="s">
        <v>571</v>
      </c>
      <c r="I68" s="46" t="s">
        <v>571</v>
      </c>
      <c r="J68" s="46" t="s">
        <v>571</v>
      </c>
    </row>
    <row r="69" spans="2:10">
      <c r="B69" s="46" t="s">
        <v>100</v>
      </c>
      <c r="C69" s="46" t="s">
        <v>626</v>
      </c>
      <c r="D69" s="48">
        <v>12</v>
      </c>
      <c r="F69" s="46" t="s">
        <v>571</v>
      </c>
      <c r="G69" s="46" t="s">
        <v>571</v>
      </c>
      <c r="I69" s="46" t="s">
        <v>571</v>
      </c>
      <c r="J69" s="46" t="s">
        <v>571</v>
      </c>
    </row>
    <row r="70" spans="2:10">
      <c r="B70" s="46" t="s">
        <v>101</v>
      </c>
      <c r="C70" s="46" t="s">
        <v>627</v>
      </c>
      <c r="D70" s="48">
        <v>25.403475698517035</v>
      </c>
      <c r="F70" s="46" t="s">
        <v>571</v>
      </c>
      <c r="G70" s="46" t="s">
        <v>571</v>
      </c>
      <c r="I70" s="46" t="s">
        <v>571</v>
      </c>
      <c r="J70" s="46" t="s">
        <v>571</v>
      </c>
    </row>
    <row r="71" spans="2:10">
      <c r="B71" s="46" t="s">
        <v>102</v>
      </c>
      <c r="C71" s="46" t="s">
        <v>628</v>
      </c>
      <c r="D71" s="48">
        <v>5.3375058873689021</v>
      </c>
      <c r="F71" s="46" t="s">
        <v>571</v>
      </c>
      <c r="G71" s="46" t="s">
        <v>571</v>
      </c>
      <c r="I71" s="46" t="s">
        <v>571</v>
      </c>
      <c r="J71" s="46" t="s">
        <v>571</v>
      </c>
    </row>
    <row r="72" spans="2:10">
      <c r="B72" s="46" t="s">
        <v>103</v>
      </c>
      <c r="C72" s="46" t="s">
        <v>629</v>
      </c>
      <c r="D72" s="48">
        <v>4.9068176868413298</v>
      </c>
      <c r="F72" s="46" t="s">
        <v>571</v>
      </c>
      <c r="G72" s="46" t="s">
        <v>571</v>
      </c>
      <c r="I72" s="46" t="s">
        <v>571</v>
      </c>
      <c r="J72" s="46" t="s">
        <v>571</v>
      </c>
    </row>
    <row r="73" spans="2:10">
      <c r="B73" s="46" t="s">
        <v>104</v>
      </c>
      <c r="C73" s="46" t="s">
        <v>630</v>
      </c>
      <c r="D73" s="48">
        <v>44.42568</v>
      </c>
      <c r="F73" s="46" t="s">
        <v>571</v>
      </c>
      <c r="G73" s="46" t="s">
        <v>571</v>
      </c>
      <c r="I73" s="46" t="s">
        <v>571</v>
      </c>
      <c r="J73" s="46" t="s">
        <v>571</v>
      </c>
    </row>
    <row r="74" spans="2:10">
      <c r="B74" s="46" t="s">
        <v>105</v>
      </c>
      <c r="C74" s="46" t="s">
        <v>631</v>
      </c>
      <c r="D74" s="48">
        <v>0</v>
      </c>
      <c r="F74" s="46" t="s">
        <v>571</v>
      </c>
      <c r="G74" s="46" t="s">
        <v>571</v>
      </c>
      <c r="I74" s="46" t="s">
        <v>571</v>
      </c>
      <c r="J74" s="46" t="s">
        <v>571</v>
      </c>
    </row>
    <row r="75" spans="2:10">
      <c r="B75" s="46" t="s">
        <v>106</v>
      </c>
      <c r="C75" s="46" t="s">
        <v>632</v>
      </c>
      <c r="D75" s="48">
        <v>1.4889005915968949</v>
      </c>
      <c r="F75" s="46" t="s">
        <v>571</v>
      </c>
      <c r="G75" s="46" t="s">
        <v>571</v>
      </c>
      <c r="I75" s="46" t="s">
        <v>571</v>
      </c>
      <c r="J75" s="46" t="s">
        <v>571</v>
      </c>
    </row>
    <row r="76" spans="2:10">
      <c r="B76" s="46" t="s">
        <v>107</v>
      </c>
      <c r="C76" s="46" t="s">
        <v>633</v>
      </c>
      <c r="D76" s="48">
        <v>0</v>
      </c>
      <c r="F76" s="46" t="s">
        <v>571</v>
      </c>
      <c r="G76" s="46" t="s">
        <v>571</v>
      </c>
      <c r="I76" s="46" t="s">
        <v>571</v>
      </c>
      <c r="J76" s="46" t="s">
        <v>571</v>
      </c>
    </row>
    <row r="77" spans="2:10">
      <c r="B77" s="46" t="s">
        <v>108</v>
      </c>
      <c r="C77" s="46" t="s">
        <v>634</v>
      </c>
      <c r="D77" s="48">
        <v>8.5211879360963447</v>
      </c>
      <c r="F77" s="46" t="s">
        <v>571</v>
      </c>
      <c r="G77" s="46" t="s">
        <v>571</v>
      </c>
      <c r="I77" s="46" t="s">
        <v>571</v>
      </c>
      <c r="J77" s="46" t="s">
        <v>571</v>
      </c>
    </row>
    <row r="78" spans="2:10">
      <c r="B78" s="46" t="s">
        <v>109</v>
      </c>
      <c r="C78" s="46" t="s">
        <v>586</v>
      </c>
      <c r="D78" s="48">
        <v>44.42568</v>
      </c>
      <c r="F78" s="46" t="s">
        <v>571</v>
      </c>
      <c r="G78" s="46" t="s">
        <v>571</v>
      </c>
      <c r="I78" s="46" t="s">
        <v>571</v>
      </c>
      <c r="J78" s="46" t="s">
        <v>571</v>
      </c>
    </row>
    <row r="79" spans="2:10">
      <c r="B79" s="46" t="s">
        <v>110</v>
      </c>
      <c r="C79" s="46" t="s">
        <v>583</v>
      </c>
      <c r="D79" s="48">
        <v>12.000999999999999</v>
      </c>
      <c r="F79" s="46" t="s">
        <v>571</v>
      </c>
      <c r="G79" s="46" t="s">
        <v>571</v>
      </c>
      <c r="I79" s="46" t="s">
        <v>571</v>
      </c>
      <c r="J79" s="46" t="s">
        <v>571</v>
      </c>
    </row>
    <row r="80" spans="2:10">
      <c r="B80" s="46" t="s">
        <v>111</v>
      </c>
      <c r="C80" s="46" t="s">
        <v>584</v>
      </c>
      <c r="D80" s="48">
        <v>0.49709592983650763</v>
      </c>
      <c r="F80" s="46" t="s">
        <v>571</v>
      </c>
      <c r="G80" s="46" t="s">
        <v>571</v>
      </c>
      <c r="I80" s="46" t="s">
        <v>571</v>
      </c>
      <c r="J80" s="46" t="s">
        <v>571</v>
      </c>
    </row>
    <row r="81" spans="2:10">
      <c r="B81" s="46" t="s">
        <v>112</v>
      </c>
      <c r="C81" s="46" t="s">
        <v>585</v>
      </c>
      <c r="D81" s="48">
        <v>2.5456233829813724</v>
      </c>
      <c r="F81" s="46" t="s">
        <v>571</v>
      </c>
      <c r="G81" s="46" t="s">
        <v>571</v>
      </c>
      <c r="I81" s="46" t="s">
        <v>571</v>
      </c>
      <c r="J81" s="46" t="s">
        <v>571</v>
      </c>
    </row>
    <row r="82" spans="2:10">
      <c r="B82" s="46" t="s">
        <v>113</v>
      </c>
      <c r="C82" s="46" t="s">
        <v>587</v>
      </c>
      <c r="D82" s="48">
        <v>11.104892985265266</v>
      </c>
      <c r="F82" s="46" t="s">
        <v>571</v>
      </c>
      <c r="G82" s="46" t="s">
        <v>571</v>
      </c>
      <c r="I82" s="46" t="s">
        <v>571</v>
      </c>
      <c r="J82" s="46" t="s">
        <v>571</v>
      </c>
    </row>
    <row r="83" spans="2:10">
      <c r="B83" s="46" t="s">
        <v>114</v>
      </c>
      <c r="C83" s="46" t="s">
        <v>586</v>
      </c>
      <c r="D83" s="48">
        <v>44.42568</v>
      </c>
      <c r="F83" s="46" t="s">
        <v>571</v>
      </c>
      <c r="G83" s="46" t="s">
        <v>571</v>
      </c>
      <c r="I83" s="46" t="s">
        <v>571</v>
      </c>
      <c r="J83" s="46" t="s">
        <v>571</v>
      </c>
    </row>
    <row r="84" spans="2:10">
      <c r="B84" s="46" t="s">
        <v>115</v>
      </c>
      <c r="C84" s="46" t="s">
        <v>583</v>
      </c>
      <c r="D84" s="48">
        <v>11.999680722147493</v>
      </c>
      <c r="F84" s="46" t="s">
        <v>571</v>
      </c>
      <c r="G84" s="46" t="s">
        <v>571</v>
      </c>
      <c r="I84" s="46" t="s">
        <v>571</v>
      </c>
      <c r="J84" s="46" t="s">
        <v>571</v>
      </c>
    </row>
    <row r="85" spans="2:10">
      <c r="B85" s="46" t="s">
        <v>116</v>
      </c>
      <c r="C85" s="46" t="s">
        <v>584</v>
      </c>
      <c r="D85" s="48">
        <v>12.889183489981406</v>
      </c>
      <c r="F85" s="46" t="s">
        <v>571</v>
      </c>
      <c r="G85" s="46" t="s">
        <v>571</v>
      </c>
      <c r="I85" s="46" t="s">
        <v>571</v>
      </c>
      <c r="J85" s="46" t="s">
        <v>571</v>
      </c>
    </row>
    <row r="86" spans="2:10">
      <c r="B86" s="46" t="s">
        <v>117</v>
      </c>
      <c r="C86" s="46" t="s">
        <v>585</v>
      </c>
      <c r="D86" s="48">
        <v>5.337824985431296</v>
      </c>
      <c r="F86" s="46" t="s">
        <v>571</v>
      </c>
      <c r="G86" s="46" t="s">
        <v>571</v>
      </c>
      <c r="I86" s="46" t="s">
        <v>571</v>
      </c>
      <c r="J86" s="46" t="s">
        <v>571</v>
      </c>
    </row>
    <row r="87" spans="2:10">
      <c r="B87" s="46" t="s">
        <v>118</v>
      </c>
      <c r="C87" s="46" t="s">
        <v>587</v>
      </c>
      <c r="D87" s="48">
        <v>13.876031560507789</v>
      </c>
      <c r="F87" s="46" t="s">
        <v>571</v>
      </c>
      <c r="G87" s="46" t="s">
        <v>571</v>
      </c>
      <c r="I87" s="46" t="s">
        <v>571</v>
      </c>
      <c r="J87" s="46" t="s">
        <v>571</v>
      </c>
    </row>
    <row r="88" spans="2:10">
      <c r="B88" s="46" t="s">
        <v>119</v>
      </c>
      <c r="C88" s="46" t="s">
        <v>586</v>
      </c>
      <c r="D88" s="48">
        <v>44.42568</v>
      </c>
      <c r="F88" s="46" t="s">
        <v>571</v>
      </c>
      <c r="G88" s="46" t="s">
        <v>571</v>
      </c>
      <c r="I88" s="46" t="s">
        <v>571</v>
      </c>
      <c r="J88" s="46" t="s">
        <v>571</v>
      </c>
    </row>
    <row r="89" spans="2:10">
      <c r="B89" s="46" t="s">
        <v>120</v>
      </c>
      <c r="C89" s="46" t="s">
        <v>583</v>
      </c>
      <c r="D89" s="48">
        <v>12</v>
      </c>
      <c r="F89" s="46" t="s">
        <v>571</v>
      </c>
      <c r="G89" s="46" t="s">
        <v>571</v>
      </c>
      <c r="I89" s="46" t="s">
        <v>571</v>
      </c>
      <c r="J89" s="46" t="s">
        <v>571</v>
      </c>
    </row>
    <row r="90" spans="2:10">
      <c r="B90" s="46" t="s">
        <v>121</v>
      </c>
      <c r="C90" s="46" t="s">
        <v>584</v>
      </c>
      <c r="D90" s="48">
        <v>14.233739956668394</v>
      </c>
      <c r="F90" s="46" t="s">
        <v>571</v>
      </c>
      <c r="G90" s="46" t="s">
        <v>571</v>
      </c>
      <c r="I90" s="46" t="s">
        <v>571</v>
      </c>
      <c r="J90" s="46" t="s">
        <v>571</v>
      </c>
    </row>
    <row r="91" spans="2:10">
      <c r="B91" s="46" t="s">
        <v>122</v>
      </c>
      <c r="C91" s="46" t="s">
        <v>585</v>
      </c>
      <c r="D91" s="48">
        <v>5.3381455235013417</v>
      </c>
      <c r="F91" s="46" t="s">
        <v>571</v>
      </c>
      <c r="G91" s="46" t="s">
        <v>571</v>
      </c>
      <c r="I91" s="46" t="s">
        <v>571</v>
      </c>
      <c r="J91" s="46" t="s">
        <v>571</v>
      </c>
    </row>
    <row r="92" spans="2:10">
      <c r="B92" s="46" t="s">
        <v>123</v>
      </c>
      <c r="C92" s="46" t="s">
        <v>587</v>
      </c>
      <c r="D92" s="48">
        <v>13.875712350431852</v>
      </c>
      <c r="F92" s="46" t="s">
        <v>571</v>
      </c>
      <c r="G92" s="46" t="s">
        <v>571</v>
      </c>
      <c r="I92" s="46" t="s">
        <v>571</v>
      </c>
      <c r="J92" s="46" t="s">
        <v>571</v>
      </c>
    </row>
    <row r="93" spans="2:10">
      <c r="B93" s="46" t="s">
        <v>124</v>
      </c>
      <c r="C93" s="46" t="s">
        <v>586</v>
      </c>
      <c r="D93" s="48">
        <v>44.42568</v>
      </c>
      <c r="F93" s="46" t="s">
        <v>571</v>
      </c>
      <c r="G93" s="46" t="s">
        <v>571</v>
      </c>
      <c r="I93" s="46" t="s">
        <v>571</v>
      </c>
      <c r="J93" s="46" t="s">
        <v>571</v>
      </c>
    </row>
    <row r="94" spans="2:10">
      <c r="B94" s="46" t="s">
        <v>125</v>
      </c>
      <c r="C94" s="46" t="s">
        <v>583</v>
      </c>
      <c r="D94" s="48">
        <v>11.99904236977218</v>
      </c>
      <c r="F94" s="46" t="s">
        <v>571</v>
      </c>
      <c r="G94" s="46" t="s">
        <v>571</v>
      </c>
      <c r="I94" s="46" t="s">
        <v>571</v>
      </c>
      <c r="J94" s="46" t="s">
        <v>571</v>
      </c>
    </row>
    <row r="95" spans="2:10">
      <c r="B95" s="46" t="s">
        <v>126</v>
      </c>
      <c r="C95" s="46" t="s">
        <v>584</v>
      </c>
      <c r="D95" s="48">
        <v>16.434579273024656</v>
      </c>
      <c r="F95" s="46" t="s">
        <v>571</v>
      </c>
      <c r="G95" s="46" t="s">
        <v>571</v>
      </c>
      <c r="I95" s="46" t="s">
        <v>571</v>
      </c>
      <c r="J95" s="46" t="s">
        <v>571</v>
      </c>
    </row>
    <row r="96" spans="2:10">
      <c r="B96" s="46" t="s">
        <v>127</v>
      </c>
      <c r="C96" s="46" t="s">
        <v>585</v>
      </c>
      <c r="D96" s="48">
        <v>5.3384652754976205</v>
      </c>
      <c r="F96" s="46" t="s">
        <v>571</v>
      </c>
      <c r="G96" s="46" t="s">
        <v>571</v>
      </c>
      <c r="I96" s="46" t="s">
        <v>571</v>
      </c>
      <c r="J96" s="46" t="s">
        <v>571</v>
      </c>
    </row>
    <row r="97" spans="2:10">
      <c r="B97" s="46" t="s">
        <v>128</v>
      </c>
      <c r="C97" s="46" t="s">
        <v>587</v>
      </c>
      <c r="D97" s="48">
        <v>13.875712354432824</v>
      </c>
      <c r="F97" s="46" t="s">
        <v>571</v>
      </c>
      <c r="G97" s="46" t="s">
        <v>571</v>
      </c>
      <c r="I97" s="46" t="s">
        <v>571</v>
      </c>
      <c r="J97" s="46" t="s">
        <v>571</v>
      </c>
    </row>
    <row r="98" spans="2:10">
      <c r="B98" s="46" t="s">
        <v>129</v>
      </c>
      <c r="C98" s="46" t="s">
        <v>586</v>
      </c>
      <c r="D98" s="48">
        <v>44.42568</v>
      </c>
      <c r="F98" s="46" t="s">
        <v>571</v>
      </c>
      <c r="G98" s="46" t="s">
        <v>571</v>
      </c>
      <c r="I98" s="46" t="s">
        <v>571</v>
      </c>
      <c r="J98" s="46" t="s">
        <v>571</v>
      </c>
    </row>
    <row r="99" spans="2:10">
      <c r="B99" s="46" t="s">
        <v>130</v>
      </c>
      <c r="C99" s="46" t="s">
        <v>583</v>
      </c>
      <c r="D99" s="48">
        <v>12</v>
      </c>
      <c r="F99" s="46" t="s">
        <v>571</v>
      </c>
      <c r="G99" s="46" t="s">
        <v>571</v>
      </c>
      <c r="I99" s="46" t="s">
        <v>571</v>
      </c>
      <c r="J99" s="46" t="s">
        <v>571</v>
      </c>
    </row>
    <row r="100" spans="2:10">
      <c r="B100" s="46" t="s">
        <v>131</v>
      </c>
      <c r="C100" s="46" t="s">
        <v>584</v>
      </c>
      <c r="D100" s="48">
        <v>16.432983259359865</v>
      </c>
      <c r="F100" s="46" t="s">
        <v>571</v>
      </c>
      <c r="G100" s="46" t="s">
        <v>571</v>
      </c>
      <c r="I100" s="46" t="s">
        <v>571</v>
      </c>
      <c r="J100" s="46" t="s">
        <v>571</v>
      </c>
    </row>
    <row r="101" spans="2:10">
      <c r="B101" s="46" t="s">
        <v>132</v>
      </c>
      <c r="C101" s="46" t="s">
        <v>585</v>
      </c>
      <c r="D101" s="48">
        <v>5.3384652033091893</v>
      </c>
      <c r="F101" s="46" t="s">
        <v>571</v>
      </c>
      <c r="G101" s="46" t="s">
        <v>571</v>
      </c>
      <c r="I101" s="46" t="s">
        <v>571</v>
      </c>
      <c r="J101" s="46" t="s">
        <v>571</v>
      </c>
    </row>
    <row r="102" spans="2:10">
      <c r="B102" s="46" t="s">
        <v>133</v>
      </c>
      <c r="C102" s="46" t="s">
        <v>587</v>
      </c>
      <c r="D102" s="48">
        <v>13.876350810058225</v>
      </c>
      <c r="F102" s="46" t="s">
        <v>571</v>
      </c>
      <c r="G102" s="46" t="s">
        <v>571</v>
      </c>
      <c r="I102" s="46" t="s">
        <v>571</v>
      </c>
      <c r="J102" s="46" t="s">
        <v>571</v>
      </c>
    </row>
    <row r="103" spans="2:10">
      <c r="B103" s="46" t="s">
        <v>134</v>
      </c>
      <c r="C103" s="46" t="s">
        <v>586</v>
      </c>
      <c r="D103" s="48">
        <v>44.42568</v>
      </c>
      <c r="F103" s="46" t="s">
        <v>571</v>
      </c>
      <c r="G103" s="46" t="s">
        <v>571</v>
      </c>
      <c r="I103" s="46" t="s">
        <v>571</v>
      </c>
      <c r="J103" s="46" t="s">
        <v>571</v>
      </c>
    </row>
    <row r="104" spans="2:10">
      <c r="B104" s="46" t="s">
        <v>135</v>
      </c>
      <c r="C104" s="46" t="s">
        <v>583</v>
      </c>
      <c r="D104" s="48">
        <v>11.999361512071546</v>
      </c>
      <c r="F104" s="46" t="s">
        <v>571</v>
      </c>
      <c r="G104" s="46" t="s">
        <v>571</v>
      </c>
      <c r="I104" s="46" t="s">
        <v>571</v>
      </c>
      <c r="J104" s="46" t="s">
        <v>571</v>
      </c>
    </row>
    <row r="105" spans="2:10">
      <c r="B105" s="46" t="s">
        <v>136</v>
      </c>
      <c r="C105" s="46" t="s">
        <v>584</v>
      </c>
      <c r="D105" s="48">
        <v>16.434579460561849</v>
      </c>
      <c r="F105" s="46" t="s">
        <v>571</v>
      </c>
      <c r="G105" s="46" t="s">
        <v>571</v>
      </c>
      <c r="I105" s="46" t="s">
        <v>571</v>
      </c>
      <c r="J105" s="46" t="s">
        <v>571</v>
      </c>
    </row>
    <row r="106" spans="2:10">
      <c r="B106" s="46" t="s">
        <v>137</v>
      </c>
      <c r="C106" s="46" t="s">
        <v>585</v>
      </c>
      <c r="D106" s="48">
        <v>5.3378267396100263</v>
      </c>
      <c r="F106" s="46" t="s">
        <v>571</v>
      </c>
      <c r="G106" s="46" t="s">
        <v>571</v>
      </c>
      <c r="I106" s="46" t="s">
        <v>571</v>
      </c>
      <c r="J106" s="46" t="s">
        <v>571</v>
      </c>
    </row>
    <row r="107" spans="2:10">
      <c r="B107" s="46" t="s">
        <v>138</v>
      </c>
      <c r="C107" s="46" t="s">
        <v>587</v>
      </c>
      <c r="D107" s="48">
        <v>13.876031560483856</v>
      </c>
      <c r="F107" s="46" t="s">
        <v>571</v>
      </c>
      <c r="G107" s="46" t="s">
        <v>571</v>
      </c>
      <c r="I107" s="46" t="s">
        <v>571</v>
      </c>
      <c r="J107" s="46" t="s">
        <v>571</v>
      </c>
    </row>
    <row r="108" spans="2:10">
      <c r="B108" s="46" t="s">
        <v>139</v>
      </c>
      <c r="C108" s="46" t="s">
        <v>586</v>
      </c>
      <c r="D108" s="48">
        <v>44.42568</v>
      </c>
      <c r="F108" s="46" t="s">
        <v>571</v>
      </c>
      <c r="G108" s="46" t="s">
        <v>571</v>
      </c>
      <c r="I108" s="46" t="s">
        <v>571</v>
      </c>
      <c r="J108" s="46" t="s">
        <v>571</v>
      </c>
    </row>
    <row r="109" spans="2:10">
      <c r="B109" s="46" t="s">
        <v>140</v>
      </c>
      <c r="C109" s="46" t="s">
        <v>583</v>
      </c>
      <c r="D109" s="48">
        <v>12</v>
      </c>
      <c r="F109" s="46" t="s">
        <v>571</v>
      </c>
      <c r="G109" s="46" t="s">
        <v>571</v>
      </c>
      <c r="I109" s="46" t="s">
        <v>571</v>
      </c>
      <c r="J109" s="46" t="s">
        <v>571</v>
      </c>
    </row>
    <row r="110" spans="2:10">
      <c r="B110" s="46" t="s">
        <v>141</v>
      </c>
      <c r="C110" s="46" t="s">
        <v>584</v>
      </c>
      <c r="D110" s="48">
        <v>8.2834839850973498</v>
      </c>
      <c r="F110" s="46" t="s">
        <v>571</v>
      </c>
      <c r="G110" s="46" t="s">
        <v>571</v>
      </c>
      <c r="I110" s="46" t="s">
        <v>571</v>
      </c>
      <c r="J110" s="46" t="s">
        <v>571</v>
      </c>
    </row>
    <row r="111" spans="2:10">
      <c r="B111" s="46" t="s">
        <v>142</v>
      </c>
      <c r="C111" s="46" t="s">
        <v>585</v>
      </c>
      <c r="D111" s="48">
        <v>5.2092048566069726</v>
      </c>
      <c r="F111" s="46" t="s">
        <v>571</v>
      </c>
      <c r="G111" s="46" t="s">
        <v>571</v>
      </c>
      <c r="I111" s="46" t="s">
        <v>571</v>
      </c>
      <c r="J111" s="46" t="s">
        <v>571</v>
      </c>
    </row>
    <row r="112" spans="2:10">
      <c r="B112" s="46" t="s">
        <v>143</v>
      </c>
      <c r="C112" s="46" t="s">
        <v>587</v>
      </c>
      <c r="D112" s="48">
        <v>13.768474455242643</v>
      </c>
      <c r="F112" s="46" t="s">
        <v>571</v>
      </c>
      <c r="G112" s="46" t="s">
        <v>571</v>
      </c>
      <c r="I112" s="46" t="s">
        <v>571</v>
      </c>
      <c r="J112" s="46" t="s">
        <v>571</v>
      </c>
    </row>
    <row r="113" spans="2:10">
      <c r="B113" s="46" t="s">
        <v>144</v>
      </c>
      <c r="C113" s="46" t="s">
        <v>586</v>
      </c>
      <c r="D113" s="48">
        <v>44.42568</v>
      </c>
      <c r="F113" s="46" t="s">
        <v>571</v>
      </c>
      <c r="G113" s="46" t="s">
        <v>571</v>
      </c>
      <c r="I113" s="46" t="s">
        <v>571</v>
      </c>
      <c r="J113" s="46" t="s">
        <v>571</v>
      </c>
    </row>
    <row r="114" spans="2:10">
      <c r="B114" s="46" t="s">
        <v>145</v>
      </c>
      <c r="C114" s="46" t="s">
        <v>583</v>
      </c>
      <c r="D114" s="48">
        <v>12.000999999999999</v>
      </c>
      <c r="F114" s="46" t="s">
        <v>571</v>
      </c>
      <c r="G114" s="46" t="s">
        <v>571</v>
      </c>
      <c r="I114" s="46" t="s">
        <v>571</v>
      </c>
      <c r="J114" s="46" t="s">
        <v>571</v>
      </c>
    </row>
    <row r="115" spans="2:10">
      <c r="B115" s="46" t="s">
        <v>146</v>
      </c>
      <c r="C115" s="46" t="s">
        <v>584</v>
      </c>
      <c r="D115" s="48">
        <v>5.3717063530817359</v>
      </c>
      <c r="F115" s="46" t="s">
        <v>571</v>
      </c>
      <c r="G115" s="46" t="s">
        <v>571</v>
      </c>
      <c r="I115" s="46" t="s">
        <v>571</v>
      </c>
      <c r="J115" s="46" t="s">
        <v>571</v>
      </c>
    </row>
    <row r="116" spans="2:10">
      <c r="B116" s="46" t="s">
        <v>147</v>
      </c>
      <c r="C116" s="46" t="s">
        <v>585</v>
      </c>
      <c r="D116" s="48">
        <v>5.3197169434590874</v>
      </c>
      <c r="F116" s="46" t="s">
        <v>571</v>
      </c>
      <c r="G116" s="46" t="s">
        <v>571</v>
      </c>
      <c r="I116" s="46" t="s">
        <v>571</v>
      </c>
      <c r="J116" s="46" t="s">
        <v>571</v>
      </c>
    </row>
    <row r="117" spans="2:10">
      <c r="B117" s="46" t="s">
        <v>148</v>
      </c>
      <c r="C117" s="46" t="s">
        <v>587</v>
      </c>
      <c r="D117" s="48">
        <v>13.878985855338913</v>
      </c>
      <c r="F117" s="46" t="s">
        <v>571</v>
      </c>
      <c r="G117" s="46" t="s">
        <v>571</v>
      </c>
      <c r="I117" s="46" t="s">
        <v>571</v>
      </c>
      <c r="J117" s="46" t="s">
        <v>571</v>
      </c>
    </row>
    <row r="118" spans="2:10">
      <c r="B118" s="46" t="s">
        <v>149</v>
      </c>
      <c r="C118" s="46" t="s">
        <v>586</v>
      </c>
      <c r="D118" s="48">
        <v>44.42568</v>
      </c>
      <c r="F118" s="46" t="s">
        <v>571</v>
      </c>
      <c r="G118" s="46" t="s">
        <v>571</v>
      </c>
      <c r="I118" s="46" t="s">
        <v>571</v>
      </c>
      <c r="J118" s="46" t="s">
        <v>571</v>
      </c>
    </row>
    <row r="119" spans="2:10">
      <c r="B119" s="46" t="s">
        <v>150</v>
      </c>
      <c r="C119" s="46" t="s">
        <v>583</v>
      </c>
      <c r="D119" s="48">
        <v>11.999680722147493</v>
      </c>
      <c r="F119" s="46" t="s">
        <v>571</v>
      </c>
      <c r="G119" s="46" t="s">
        <v>571</v>
      </c>
      <c r="I119" s="46" t="s">
        <v>571</v>
      </c>
      <c r="J119" s="46" t="s">
        <v>571</v>
      </c>
    </row>
    <row r="120" spans="2:10">
      <c r="B120" s="46" t="s">
        <v>151</v>
      </c>
      <c r="C120" s="46" t="s">
        <v>584</v>
      </c>
      <c r="D120" s="48">
        <v>10.737378411699085</v>
      </c>
      <c r="F120" s="46" t="s">
        <v>571</v>
      </c>
      <c r="G120" s="46" t="s">
        <v>571</v>
      </c>
      <c r="I120" s="46" t="s">
        <v>571</v>
      </c>
      <c r="J120" s="46" t="s">
        <v>571</v>
      </c>
    </row>
    <row r="121" spans="2:10">
      <c r="B121" s="46" t="s">
        <v>152</v>
      </c>
      <c r="C121" s="46" t="s">
        <v>585</v>
      </c>
      <c r="D121" s="48">
        <v>5.3378267436588667</v>
      </c>
      <c r="F121" s="46" t="s">
        <v>571</v>
      </c>
      <c r="G121" s="46" t="s">
        <v>571</v>
      </c>
      <c r="I121" s="46" t="s">
        <v>571</v>
      </c>
      <c r="J121" s="46" t="s">
        <v>571</v>
      </c>
    </row>
    <row r="122" spans="2:10">
      <c r="B122" s="46" t="s">
        <v>153</v>
      </c>
      <c r="C122" s="46" t="s">
        <v>587</v>
      </c>
      <c r="D122" s="48">
        <v>13.876031564508748</v>
      </c>
      <c r="F122" s="46" t="s">
        <v>571</v>
      </c>
      <c r="G122" s="46" t="s">
        <v>571</v>
      </c>
      <c r="I122" s="46" t="s">
        <v>571</v>
      </c>
      <c r="J122" s="46" t="s">
        <v>571</v>
      </c>
    </row>
    <row r="123" spans="2:10">
      <c r="B123" s="46" t="s">
        <v>154</v>
      </c>
      <c r="C123" s="46" t="s">
        <v>586</v>
      </c>
      <c r="D123" s="48">
        <v>44.42568</v>
      </c>
      <c r="F123" s="46" t="s">
        <v>571</v>
      </c>
      <c r="G123" s="46" t="s">
        <v>571</v>
      </c>
      <c r="I123" s="46" t="s">
        <v>571</v>
      </c>
      <c r="J123" s="46" t="s">
        <v>571</v>
      </c>
    </row>
    <row r="124" spans="2:10">
      <c r="B124" s="46" t="s">
        <v>155</v>
      </c>
      <c r="C124" s="46" t="s">
        <v>583</v>
      </c>
      <c r="D124" s="48">
        <v>11.999680789924064</v>
      </c>
      <c r="F124" s="46" t="s">
        <v>571</v>
      </c>
      <c r="G124" s="46" t="s">
        <v>571</v>
      </c>
      <c r="I124" s="46" t="s">
        <v>571</v>
      </c>
      <c r="J124" s="46" t="s">
        <v>571</v>
      </c>
    </row>
    <row r="125" spans="2:10">
      <c r="B125" s="46" t="s">
        <v>156</v>
      </c>
      <c r="C125" s="46" t="s">
        <v>584</v>
      </c>
      <c r="D125" s="48">
        <v>11.879568393210825</v>
      </c>
      <c r="F125" s="46" t="s">
        <v>571</v>
      </c>
      <c r="G125" s="46" t="s">
        <v>571</v>
      </c>
      <c r="I125" s="46" t="s">
        <v>571</v>
      </c>
      <c r="J125" s="46" t="s">
        <v>571</v>
      </c>
    </row>
    <row r="126" spans="2:10">
      <c r="B126" s="46" t="s">
        <v>157</v>
      </c>
      <c r="C126" s="46" t="s">
        <v>585</v>
      </c>
      <c r="D126" s="48">
        <v>5.3384644087311601</v>
      </c>
      <c r="F126" s="46" t="s">
        <v>571</v>
      </c>
      <c r="G126" s="46" t="s">
        <v>571</v>
      </c>
      <c r="I126" s="46" t="s">
        <v>571</v>
      </c>
      <c r="J126" s="46" t="s">
        <v>571</v>
      </c>
    </row>
    <row r="127" spans="2:10">
      <c r="B127" s="46" t="s">
        <v>158</v>
      </c>
      <c r="C127" s="46" t="s">
        <v>587</v>
      </c>
      <c r="D127" s="48">
        <v>13.876350774584695</v>
      </c>
      <c r="F127" s="46" t="s">
        <v>571</v>
      </c>
      <c r="G127" s="46" t="s">
        <v>571</v>
      </c>
      <c r="I127" s="46" t="s">
        <v>571</v>
      </c>
      <c r="J127" s="46" t="s">
        <v>571</v>
      </c>
    </row>
    <row r="128" spans="2:10">
      <c r="B128" s="46" t="s">
        <v>159</v>
      </c>
      <c r="C128" s="46" t="s">
        <v>586</v>
      </c>
      <c r="D128" s="48">
        <v>44.425679999999993</v>
      </c>
      <c r="F128" s="46" t="s">
        <v>571</v>
      </c>
      <c r="G128" s="46" t="s">
        <v>571</v>
      </c>
      <c r="I128" s="46" t="s">
        <v>571</v>
      </c>
      <c r="J128" s="46" t="s">
        <v>571</v>
      </c>
    </row>
    <row r="129" spans="2:10">
      <c r="B129" s="46" t="s">
        <v>160</v>
      </c>
      <c r="C129" s="46" t="s">
        <v>583</v>
      </c>
      <c r="D129" s="48">
        <v>11.999361512071543</v>
      </c>
      <c r="F129" s="46" t="s">
        <v>571</v>
      </c>
      <c r="G129" s="46" t="s">
        <v>571</v>
      </c>
      <c r="I129" s="46" t="s">
        <v>571</v>
      </c>
      <c r="J129" s="46" t="s">
        <v>571</v>
      </c>
    </row>
    <row r="130" spans="2:10">
      <c r="B130" s="46" t="s">
        <v>161</v>
      </c>
      <c r="C130" s="46" t="s">
        <v>584</v>
      </c>
      <c r="D130" s="48">
        <v>16.433941848291415</v>
      </c>
      <c r="F130" s="46" t="s">
        <v>571</v>
      </c>
      <c r="G130" s="46" t="s">
        <v>571</v>
      </c>
      <c r="I130" s="46" t="s">
        <v>571</v>
      </c>
      <c r="J130" s="46" t="s">
        <v>571</v>
      </c>
    </row>
    <row r="131" spans="2:10">
      <c r="B131" s="46" t="s">
        <v>162</v>
      </c>
      <c r="C131" s="46" t="s">
        <v>585</v>
      </c>
      <c r="D131" s="48">
        <v>5.338145141804528</v>
      </c>
      <c r="F131" s="46" t="s">
        <v>571</v>
      </c>
      <c r="G131" s="46" t="s">
        <v>571</v>
      </c>
      <c r="I131" s="46" t="s">
        <v>571</v>
      </c>
      <c r="J131" s="46" t="s">
        <v>571</v>
      </c>
    </row>
    <row r="132" spans="2:10">
      <c r="B132" s="46" t="s">
        <v>163</v>
      </c>
      <c r="C132" s="46" t="s">
        <v>587</v>
      </c>
      <c r="D132" s="48">
        <v>13.876350770559794</v>
      </c>
      <c r="F132" s="46" t="s">
        <v>571</v>
      </c>
      <c r="G132" s="46" t="s">
        <v>571</v>
      </c>
      <c r="I132" s="46" t="s">
        <v>571</v>
      </c>
      <c r="J132" s="46" t="s">
        <v>571</v>
      </c>
    </row>
    <row r="133" spans="2:10">
      <c r="B133" s="46" t="s">
        <v>164</v>
      </c>
      <c r="C133" s="46" t="s">
        <v>586</v>
      </c>
      <c r="D133" s="48">
        <v>44.425679999999964</v>
      </c>
      <c r="F133" s="46" t="s">
        <v>571</v>
      </c>
      <c r="G133" s="46" t="s">
        <v>571</v>
      </c>
      <c r="I133" s="46" t="s">
        <v>571</v>
      </c>
      <c r="J133" s="46" t="s">
        <v>571</v>
      </c>
    </row>
    <row r="134" spans="2:10">
      <c r="B134" s="46" t="s">
        <v>165</v>
      </c>
      <c r="C134" s="46" t="s">
        <v>583</v>
      </c>
      <c r="D134" s="48">
        <v>11.99904236977218</v>
      </c>
      <c r="F134" s="46" t="s">
        <v>571</v>
      </c>
      <c r="G134" s="46" t="s">
        <v>571</v>
      </c>
      <c r="I134" s="46" t="s">
        <v>571</v>
      </c>
      <c r="J134" s="46" t="s">
        <v>571</v>
      </c>
    </row>
    <row r="135" spans="2:10">
      <c r="B135" s="46" t="s">
        <v>166</v>
      </c>
      <c r="C135" s="46" t="s">
        <v>584</v>
      </c>
      <c r="D135" s="48">
        <v>16.43458046237367</v>
      </c>
      <c r="F135" s="46" t="s">
        <v>571</v>
      </c>
      <c r="G135" s="46" t="s">
        <v>571</v>
      </c>
      <c r="I135" s="46" t="s">
        <v>571</v>
      </c>
      <c r="J135" s="46" t="s">
        <v>571</v>
      </c>
    </row>
    <row r="136" spans="2:10">
      <c r="B136" s="46" t="s">
        <v>167</v>
      </c>
      <c r="C136" s="46" t="s">
        <v>585</v>
      </c>
      <c r="D136" s="48">
        <v>5.3384640223969422</v>
      </c>
      <c r="F136" s="46" t="s">
        <v>571</v>
      </c>
      <c r="G136" s="46" t="s">
        <v>571</v>
      </c>
      <c r="I136" s="46" t="s">
        <v>571</v>
      </c>
      <c r="J136" s="46" t="s">
        <v>571</v>
      </c>
    </row>
    <row r="137" spans="2:10">
      <c r="B137" s="46" t="s">
        <v>168</v>
      </c>
      <c r="C137" s="46" t="s">
        <v>587</v>
      </c>
      <c r="D137" s="48">
        <v>13.875712418184484</v>
      </c>
      <c r="F137" s="46" t="s">
        <v>571</v>
      </c>
      <c r="G137" s="46" t="s">
        <v>571</v>
      </c>
      <c r="I137" s="46" t="s">
        <v>571</v>
      </c>
      <c r="J137" s="46" t="s">
        <v>571</v>
      </c>
    </row>
    <row r="138" spans="2:10">
      <c r="B138" s="46" t="s">
        <v>169</v>
      </c>
      <c r="C138" s="46" t="s">
        <v>586</v>
      </c>
      <c r="D138" s="48">
        <v>44.425679999999964</v>
      </c>
      <c r="F138" s="46" t="s">
        <v>571</v>
      </c>
      <c r="G138" s="46" t="s">
        <v>571</v>
      </c>
      <c r="I138" s="46" t="s">
        <v>571</v>
      </c>
      <c r="J138" s="46" t="s">
        <v>571</v>
      </c>
    </row>
    <row r="139" spans="2:10">
      <c r="B139" s="46" t="s">
        <v>170</v>
      </c>
      <c r="C139" s="46" t="s">
        <v>583</v>
      </c>
      <c r="D139" s="48">
        <v>11.999680722147492</v>
      </c>
      <c r="F139" s="46" t="s">
        <v>571</v>
      </c>
      <c r="G139" s="46" t="s">
        <v>571</v>
      </c>
      <c r="I139" s="46" t="s">
        <v>571</v>
      </c>
      <c r="J139" s="46" t="s">
        <v>571</v>
      </c>
    </row>
    <row r="140" spans="2:10">
      <c r="B140" s="46" t="s">
        <v>171</v>
      </c>
      <c r="C140" s="46" t="s">
        <v>584</v>
      </c>
      <c r="D140" s="48">
        <v>16.434261655697512</v>
      </c>
      <c r="F140" s="46" t="s">
        <v>571</v>
      </c>
      <c r="G140" s="46" t="s">
        <v>571</v>
      </c>
      <c r="I140" s="46" t="s">
        <v>571</v>
      </c>
      <c r="J140" s="46" t="s">
        <v>571</v>
      </c>
    </row>
    <row r="141" spans="2:10">
      <c r="B141" s="46" t="s">
        <v>172</v>
      </c>
      <c r="C141" s="46" t="s">
        <v>585</v>
      </c>
      <c r="D141" s="48">
        <v>5.3381442701782236</v>
      </c>
      <c r="F141" s="46" t="s">
        <v>571</v>
      </c>
      <c r="G141" s="46" t="s">
        <v>571</v>
      </c>
      <c r="I141" s="46" t="s">
        <v>571</v>
      </c>
      <c r="J141" s="46" t="s">
        <v>571</v>
      </c>
    </row>
    <row r="142" spans="2:10">
      <c r="B142" s="46" t="s">
        <v>173</v>
      </c>
      <c r="C142" s="46" t="s">
        <v>587</v>
      </c>
      <c r="D142" s="48">
        <v>13.875712624704056</v>
      </c>
      <c r="F142" s="46" t="s">
        <v>571</v>
      </c>
      <c r="G142" s="46" t="s">
        <v>571</v>
      </c>
      <c r="I142" s="46" t="s">
        <v>571</v>
      </c>
      <c r="J142" s="46" t="s">
        <v>571</v>
      </c>
    </row>
    <row r="143" spans="2:10">
      <c r="B143" s="46" t="s">
        <v>174</v>
      </c>
      <c r="C143" s="46" t="s">
        <v>586</v>
      </c>
      <c r="D143" s="48">
        <v>44.425679999999971</v>
      </c>
      <c r="F143" s="46" t="s">
        <v>571</v>
      </c>
      <c r="G143" s="46" t="s">
        <v>571</v>
      </c>
      <c r="I143" s="46" t="s">
        <v>571</v>
      </c>
      <c r="J143" s="46" t="s">
        <v>571</v>
      </c>
    </row>
    <row r="144" spans="2:10">
      <c r="B144" s="46" t="s">
        <v>175</v>
      </c>
      <c r="C144" s="46" t="s">
        <v>583</v>
      </c>
      <c r="D144" s="48">
        <v>12</v>
      </c>
      <c r="F144" s="46" t="s">
        <v>571</v>
      </c>
      <c r="G144" s="46" t="s">
        <v>571</v>
      </c>
      <c r="I144" s="46" t="s">
        <v>571</v>
      </c>
      <c r="J144" s="46" t="s">
        <v>571</v>
      </c>
    </row>
    <row r="145" spans="2:10">
      <c r="B145" s="46" t="s">
        <v>176</v>
      </c>
      <c r="C145" s="46" t="s">
        <v>584</v>
      </c>
      <c r="D145" s="48">
        <v>16.394234460503156</v>
      </c>
      <c r="F145" s="46" t="s">
        <v>571</v>
      </c>
      <c r="G145" s="46" t="s">
        <v>571</v>
      </c>
      <c r="I145" s="46" t="s">
        <v>571</v>
      </c>
      <c r="J145" s="46" t="s">
        <v>571</v>
      </c>
    </row>
    <row r="146" spans="2:10">
      <c r="B146" s="46" t="s">
        <v>177</v>
      </c>
      <c r="C146" s="46" t="s">
        <v>585</v>
      </c>
      <c r="D146" s="48">
        <v>5.3378263351723403</v>
      </c>
      <c r="F146" s="46" t="s">
        <v>571</v>
      </c>
      <c r="G146" s="46" t="s">
        <v>571</v>
      </c>
      <c r="I146" s="46" t="s">
        <v>571</v>
      </c>
      <c r="J146" s="46" t="s">
        <v>571</v>
      </c>
    </row>
    <row r="147" spans="2:10">
      <c r="B147" s="46" t="s">
        <v>178</v>
      </c>
      <c r="C147" s="46" t="s">
        <v>587</v>
      </c>
      <c r="D147" s="48">
        <v>13.915738477051773</v>
      </c>
      <c r="F147" s="46" t="s">
        <v>571</v>
      </c>
      <c r="G147" s="46" t="s">
        <v>571</v>
      </c>
      <c r="I147" s="46" t="s">
        <v>571</v>
      </c>
      <c r="J147" s="46" t="s">
        <v>571</v>
      </c>
    </row>
    <row r="148" spans="2:10">
      <c r="B148" s="46" t="s">
        <v>179</v>
      </c>
      <c r="C148" s="46" t="s">
        <v>586</v>
      </c>
      <c r="D148" s="48">
        <v>9.2553499999999982</v>
      </c>
      <c r="F148" s="46" t="s">
        <v>571</v>
      </c>
      <c r="G148" s="46" t="s">
        <v>571</v>
      </c>
      <c r="I148" s="46" t="s">
        <v>571</v>
      </c>
      <c r="J148" s="46" t="s">
        <v>571</v>
      </c>
    </row>
    <row r="149" spans="2:10">
      <c r="B149" s="46" t="s">
        <v>180</v>
      </c>
      <c r="C149" s="46" t="s">
        <v>583</v>
      </c>
      <c r="D149" s="48">
        <v>12</v>
      </c>
      <c r="F149" s="46" t="s">
        <v>571</v>
      </c>
      <c r="G149" s="46" t="s">
        <v>571</v>
      </c>
      <c r="I149" s="46" t="s">
        <v>571</v>
      </c>
      <c r="J149" s="46" t="s">
        <v>571</v>
      </c>
    </row>
    <row r="150" spans="2:10">
      <c r="B150" s="46" t="s">
        <v>181</v>
      </c>
      <c r="C150" s="46" t="s">
        <v>584</v>
      </c>
      <c r="D150" s="48">
        <v>5.2953634051258112</v>
      </c>
      <c r="F150" s="46" t="s">
        <v>571</v>
      </c>
      <c r="G150" s="46" t="s">
        <v>571</v>
      </c>
      <c r="I150" s="46" t="s">
        <v>571</v>
      </c>
      <c r="J150" s="46" t="s">
        <v>571</v>
      </c>
    </row>
    <row r="151" spans="2:10">
      <c r="B151" s="46" t="s">
        <v>182</v>
      </c>
      <c r="C151" s="46" t="s">
        <v>585</v>
      </c>
      <c r="D151" s="48">
        <v>1.4018511456785074</v>
      </c>
      <c r="F151" s="46" t="s">
        <v>571</v>
      </c>
      <c r="G151" s="46" t="s">
        <v>571</v>
      </c>
      <c r="I151" s="46" t="s">
        <v>571</v>
      </c>
      <c r="J151" s="46" t="s">
        <v>571</v>
      </c>
    </row>
    <row r="152" spans="2:10">
      <c r="B152" s="46" t="s">
        <v>183</v>
      </c>
      <c r="C152" s="46" t="s">
        <v>587</v>
      </c>
      <c r="D152" s="48">
        <v>7.7052780414883753</v>
      </c>
      <c r="F152" s="46" t="s">
        <v>571</v>
      </c>
      <c r="G152" s="46" t="s">
        <v>571</v>
      </c>
      <c r="I152" s="46" t="s">
        <v>571</v>
      </c>
      <c r="J152" s="46" t="s">
        <v>571</v>
      </c>
    </row>
    <row r="153" spans="2:10">
      <c r="B153" s="46" t="s">
        <v>184</v>
      </c>
      <c r="C153" s="46" t="s">
        <v>586</v>
      </c>
      <c r="D153" s="48">
        <v>11.10642</v>
      </c>
      <c r="F153" s="46" t="s">
        <v>571</v>
      </c>
      <c r="G153" s="46" t="s">
        <v>571</v>
      </c>
      <c r="I153" s="46" t="s">
        <v>571</v>
      </c>
      <c r="J153" s="46" t="s">
        <v>571</v>
      </c>
    </row>
    <row r="154" spans="2:10">
      <c r="B154" s="46" t="s">
        <v>185</v>
      </c>
      <c r="C154" s="46" t="s">
        <v>583</v>
      </c>
      <c r="D154" s="48">
        <v>12.000999999999999</v>
      </c>
      <c r="F154" s="46" t="s">
        <v>571</v>
      </c>
      <c r="G154" s="46" t="s">
        <v>571</v>
      </c>
      <c r="I154" s="46" t="s">
        <v>571</v>
      </c>
      <c r="J154" s="46" t="s">
        <v>571</v>
      </c>
    </row>
    <row r="155" spans="2:10">
      <c r="B155" s="46" t="s">
        <v>186</v>
      </c>
      <c r="C155" s="46" t="s">
        <v>584</v>
      </c>
      <c r="D155" s="48">
        <v>13.332675423934678</v>
      </c>
      <c r="F155" s="46" t="s">
        <v>571</v>
      </c>
      <c r="G155" s="46" t="s">
        <v>571</v>
      </c>
      <c r="I155" s="46" t="s">
        <v>571</v>
      </c>
      <c r="J155" s="46" t="s">
        <v>571</v>
      </c>
    </row>
    <row r="156" spans="2:10">
      <c r="B156" s="46" t="s">
        <v>187</v>
      </c>
      <c r="C156" s="46" t="s">
        <v>585</v>
      </c>
      <c r="D156" s="48">
        <v>3.8978056672180124</v>
      </c>
      <c r="F156" s="46" t="s">
        <v>571</v>
      </c>
      <c r="G156" s="46" t="s">
        <v>571</v>
      </c>
      <c r="I156" s="46" t="s">
        <v>571</v>
      </c>
      <c r="J156" s="46" t="s">
        <v>571</v>
      </c>
    </row>
    <row r="157" spans="2:10">
      <c r="B157" s="46" t="s">
        <v>188</v>
      </c>
      <c r="C157" s="46" t="s">
        <v>587</v>
      </c>
      <c r="D157" s="48">
        <v>12.457394977250052</v>
      </c>
      <c r="F157" s="46" t="s">
        <v>571</v>
      </c>
      <c r="G157" s="46" t="s">
        <v>571</v>
      </c>
      <c r="I157" s="46" t="s">
        <v>571</v>
      </c>
      <c r="J157" s="46" t="s">
        <v>571</v>
      </c>
    </row>
    <row r="158" spans="2:10">
      <c r="B158" s="46" t="s">
        <v>189</v>
      </c>
      <c r="C158" s="46" t="s">
        <v>586</v>
      </c>
      <c r="D158" s="48">
        <v>44.42568</v>
      </c>
      <c r="F158" s="46" t="s">
        <v>571</v>
      </c>
      <c r="G158" s="46" t="s">
        <v>571</v>
      </c>
      <c r="I158" s="46" t="s">
        <v>571</v>
      </c>
      <c r="J158" s="46" t="s">
        <v>571</v>
      </c>
    </row>
    <row r="159" spans="2:10">
      <c r="B159" s="46" t="s">
        <v>190</v>
      </c>
      <c r="C159" s="46" t="s">
        <v>583</v>
      </c>
      <c r="D159" s="48">
        <v>12</v>
      </c>
      <c r="F159" s="46" t="s">
        <v>571</v>
      </c>
      <c r="G159" s="46" t="s">
        <v>571</v>
      </c>
      <c r="I159" s="46" t="s">
        <v>571</v>
      </c>
      <c r="J159" s="46" t="s">
        <v>571</v>
      </c>
    </row>
    <row r="160" spans="2:10">
      <c r="B160" s="46" t="s">
        <v>191</v>
      </c>
      <c r="C160" s="46" t="s">
        <v>584</v>
      </c>
      <c r="D160" s="48">
        <v>14.638161037317323</v>
      </c>
      <c r="F160" s="46" t="s">
        <v>571</v>
      </c>
      <c r="G160" s="46" t="s">
        <v>571</v>
      </c>
      <c r="I160" s="46" t="s">
        <v>571</v>
      </c>
      <c r="J160" s="46" t="s">
        <v>571</v>
      </c>
    </row>
    <row r="161" spans="2:10">
      <c r="B161" s="46" t="s">
        <v>192</v>
      </c>
      <c r="C161" s="46" t="s">
        <v>585</v>
      </c>
      <c r="D161" s="48">
        <v>5.337506677910576</v>
      </c>
      <c r="F161" s="46" t="s">
        <v>571</v>
      </c>
      <c r="G161" s="46" t="s">
        <v>571</v>
      </c>
      <c r="I161" s="46" t="s">
        <v>571</v>
      </c>
      <c r="J161" s="46" t="s">
        <v>571</v>
      </c>
    </row>
    <row r="162" spans="2:10">
      <c r="B162" s="46" t="s">
        <v>193</v>
      </c>
      <c r="C162" s="46" t="s">
        <v>587</v>
      </c>
      <c r="D162" s="48">
        <v>13.875393237133791</v>
      </c>
      <c r="F162" s="46" t="s">
        <v>571</v>
      </c>
      <c r="G162" s="46" t="s">
        <v>571</v>
      </c>
      <c r="I162" s="46" t="s">
        <v>571</v>
      </c>
      <c r="J162" s="46" t="s">
        <v>571</v>
      </c>
    </row>
    <row r="163" spans="2:10">
      <c r="B163" s="46" t="s">
        <v>194</v>
      </c>
      <c r="C163" s="46" t="s">
        <v>586</v>
      </c>
      <c r="D163" s="48">
        <v>44.42568</v>
      </c>
      <c r="F163" s="46" t="s">
        <v>571</v>
      </c>
      <c r="G163" s="46" t="s">
        <v>571</v>
      </c>
      <c r="I163" s="46" t="s">
        <v>571</v>
      </c>
      <c r="J163" s="46" t="s">
        <v>571</v>
      </c>
    </row>
    <row r="164" spans="2:10">
      <c r="B164" s="46" t="s">
        <v>195</v>
      </c>
      <c r="C164" s="46" t="s">
        <v>583</v>
      </c>
      <c r="D164" s="48">
        <v>12</v>
      </c>
      <c r="F164" s="46" t="s">
        <v>571</v>
      </c>
      <c r="G164" s="46" t="s">
        <v>571</v>
      </c>
      <c r="I164" s="46" t="s">
        <v>571</v>
      </c>
      <c r="J164" s="46" t="s">
        <v>571</v>
      </c>
    </row>
    <row r="165" spans="2:10">
      <c r="B165" s="46" t="s">
        <v>196</v>
      </c>
      <c r="C165" s="46" t="s">
        <v>584</v>
      </c>
      <c r="D165" s="48">
        <v>16.434899424082076</v>
      </c>
      <c r="F165" s="46" t="s">
        <v>571</v>
      </c>
      <c r="G165" s="46" t="s">
        <v>571</v>
      </c>
      <c r="I165" s="46" t="s">
        <v>571</v>
      </c>
      <c r="J165" s="46" t="s">
        <v>571</v>
      </c>
    </row>
    <row r="166" spans="2:10">
      <c r="B166" s="46" t="s">
        <v>197</v>
      </c>
      <c r="C166" s="46" t="s">
        <v>585</v>
      </c>
      <c r="D166" s="48">
        <v>5.3375066857308218</v>
      </c>
      <c r="F166" s="46" t="s">
        <v>571</v>
      </c>
      <c r="G166" s="46" t="s">
        <v>571</v>
      </c>
      <c r="I166" s="46" t="s">
        <v>571</v>
      </c>
      <c r="J166" s="46" t="s">
        <v>571</v>
      </c>
    </row>
    <row r="167" spans="2:10">
      <c r="B167" s="46" t="s">
        <v>198</v>
      </c>
      <c r="C167" s="46" t="s">
        <v>587</v>
      </c>
      <c r="D167" s="48">
        <v>13.875393162914383</v>
      </c>
      <c r="F167" s="46" t="s">
        <v>571</v>
      </c>
      <c r="G167" s="46" t="s">
        <v>571</v>
      </c>
      <c r="I167" s="46" t="s">
        <v>571</v>
      </c>
      <c r="J167" s="46" t="s">
        <v>571</v>
      </c>
    </row>
    <row r="168" spans="2:10">
      <c r="B168" s="46" t="s">
        <v>199</v>
      </c>
      <c r="C168" s="46" t="s">
        <v>20</v>
      </c>
      <c r="D168" s="49">
        <v>0.16157455411571439</v>
      </c>
      <c r="F168" s="46" t="s">
        <v>571</v>
      </c>
      <c r="G168" s="46" t="s">
        <v>571</v>
      </c>
      <c r="I168" s="46" t="s">
        <v>571</v>
      </c>
      <c r="J168" s="46" t="s">
        <v>571</v>
      </c>
    </row>
    <row r="169" spans="2:10">
      <c r="B169" s="46" t="s">
        <v>200</v>
      </c>
      <c r="C169" s="46" t="s">
        <v>20</v>
      </c>
      <c r="D169" s="49">
        <v>0.16157455411571442</v>
      </c>
      <c r="F169" s="46" t="s">
        <v>571</v>
      </c>
      <c r="G169" s="46" t="s">
        <v>571</v>
      </c>
      <c r="I169" s="46" t="s">
        <v>571</v>
      </c>
      <c r="J169" s="46" t="s">
        <v>571</v>
      </c>
    </row>
    <row r="170" spans="2:10">
      <c r="B170" s="46" t="s">
        <v>201</v>
      </c>
      <c r="C170" s="46" t="s">
        <v>202</v>
      </c>
      <c r="D170" s="49">
        <v>0.16157455411571439</v>
      </c>
      <c r="F170" s="46" t="s">
        <v>571</v>
      </c>
      <c r="G170" s="46" t="s">
        <v>571</v>
      </c>
      <c r="I170" s="46" t="s">
        <v>571</v>
      </c>
      <c r="J170" s="46" t="s">
        <v>571</v>
      </c>
    </row>
    <row r="171" spans="2:10">
      <c r="B171" s="46" t="s">
        <v>203</v>
      </c>
      <c r="C171" s="46" t="s">
        <v>204</v>
      </c>
      <c r="D171" s="49">
        <v>0.16157455411571439</v>
      </c>
      <c r="F171" s="46" t="s">
        <v>571</v>
      </c>
      <c r="G171" s="46" t="s">
        <v>571</v>
      </c>
      <c r="I171" s="46" t="s">
        <v>571</v>
      </c>
      <c r="J171" s="46" t="s">
        <v>571</v>
      </c>
    </row>
    <row r="172" spans="2:10">
      <c r="B172" s="46" t="s">
        <v>205</v>
      </c>
      <c r="C172" s="46" t="s">
        <v>206</v>
      </c>
      <c r="D172" s="49">
        <v>0.16157455411571439</v>
      </c>
      <c r="F172" s="46" t="s">
        <v>571</v>
      </c>
      <c r="G172" s="46" t="s">
        <v>571</v>
      </c>
      <c r="I172" s="46" t="s">
        <v>571</v>
      </c>
      <c r="J172" s="46" t="s">
        <v>571</v>
      </c>
    </row>
    <row r="173" spans="2:10">
      <c r="B173" s="46" t="s">
        <v>207</v>
      </c>
      <c r="C173" s="46" t="s">
        <v>20</v>
      </c>
      <c r="D173" s="49">
        <v>0.16157455411571442</v>
      </c>
      <c r="F173" s="46" t="s">
        <v>571</v>
      </c>
      <c r="G173" s="46" t="s">
        <v>571</v>
      </c>
      <c r="I173" s="46" t="s">
        <v>571</v>
      </c>
      <c r="J173" s="46" t="s">
        <v>571</v>
      </c>
    </row>
    <row r="174" spans="2:10">
      <c r="B174" s="46" t="s">
        <v>208</v>
      </c>
      <c r="C174" s="46" t="s">
        <v>209</v>
      </c>
      <c r="D174" s="49">
        <v>0.17</v>
      </c>
      <c r="F174" s="46" t="s">
        <v>571</v>
      </c>
      <c r="G174" s="46" t="s">
        <v>571</v>
      </c>
      <c r="I174" s="46" t="s">
        <v>571</v>
      </c>
      <c r="J174" s="46" t="s">
        <v>571</v>
      </c>
    </row>
    <row r="175" spans="2:10">
      <c r="B175" s="46" t="s">
        <v>210</v>
      </c>
      <c r="C175" s="46" t="s">
        <v>635</v>
      </c>
      <c r="D175" s="49">
        <v>0.17</v>
      </c>
      <c r="F175" s="46" t="s">
        <v>571</v>
      </c>
      <c r="G175" s="46" t="s">
        <v>571</v>
      </c>
      <c r="I175" s="46" t="s">
        <v>571</v>
      </c>
      <c r="J175" s="46" t="s">
        <v>571</v>
      </c>
    </row>
    <row r="176" spans="2:10">
      <c r="B176" s="46" t="s">
        <v>211</v>
      </c>
      <c r="C176" s="46" t="s">
        <v>20</v>
      </c>
      <c r="D176" s="49">
        <v>0.17</v>
      </c>
      <c r="F176" s="46" t="s">
        <v>571</v>
      </c>
      <c r="G176" s="46" t="s">
        <v>571</v>
      </c>
      <c r="I176" s="46" t="s">
        <v>571</v>
      </c>
      <c r="J176" s="46" t="s">
        <v>571</v>
      </c>
    </row>
    <row r="177" spans="2:10">
      <c r="B177" s="46" t="s">
        <v>212</v>
      </c>
      <c r="C177" s="46" t="s">
        <v>636</v>
      </c>
      <c r="D177" s="49">
        <v>0.17</v>
      </c>
      <c r="F177" s="46" t="s">
        <v>571</v>
      </c>
      <c r="G177" s="46" t="s">
        <v>571</v>
      </c>
      <c r="I177" s="46" t="s">
        <v>571</v>
      </c>
      <c r="J177" s="46" t="s">
        <v>571</v>
      </c>
    </row>
    <row r="178" spans="2:10">
      <c r="B178" s="46" t="s">
        <v>213</v>
      </c>
      <c r="C178" s="46" t="s">
        <v>637</v>
      </c>
      <c r="D178" s="49">
        <v>0.16157455411571442</v>
      </c>
      <c r="F178" s="46" t="s">
        <v>571</v>
      </c>
      <c r="G178" s="46" t="s">
        <v>571</v>
      </c>
      <c r="I178" s="46" t="s">
        <v>571</v>
      </c>
      <c r="J178" s="46" t="s">
        <v>571</v>
      </c>
    </row>
    <row r="179" spans="2:10">
      <c r="B179" s="46" t="s">
        <v>214</v>
      </c>
      <c r="C179" s="46" t="s">
        <v>638</v>
      </c>
      <c r="D179" s="49">
        <v>0.16157455411571439</v>
      </c>
      <c r="F179" s="46" t="s">
        <v>571</v>
      </c>
      <c r="G179" s="46" t="s">
        <v>571</v>
      </c>
      <c r="I179" s="46" t="s">
        <v>571</v>
      </c>
      <c r="J179" s="46" t="s">
        <v>571</v>
      </c>
    </row>
    <row r="180" spans="2:10">
      <c r="B180" s="46" t="s">
        <v>215</v>
      </c>
      <c r="C180" s="46" t="s">
        <v>639</v>
      </c>
      <c r="D180" s="49">
        <v>0.17</v>
      </c>
      <c r="F180" s="46" t="s">
        <v>571</v>
      </c>
      <c r="G180" s="46" t="s">
        <v>571</v>
      </c>
      <c r="I180" s="46" t="s">
        <v>571</v>
      </c>
      <c r="J180" s="46" t="s">
        <v>571</v>
      </c>
    </row>
    <row r="181" spans="2:10">
      <c r="B181" s="46" t="s">
        <v>216</v>
      </c>
      <c r="C181" s="46" t="s">
        <v>20</v>
      </c>
      <c r="D181" s="49">
        <v>0.17</v>
      </c>
      <c r="F181" s="46" t="s">
        <v>571</v>
      </c>
      <c r="G181" s="46" t="s">
        <v>571</v>
      </c>
      <c r="I181" s="46" t="s">
        <v>571</v>
      </c>
      <c r="J181" s="46" t="s">
        <v>571</v>
      </c>
    </row>
    <row r="182" spans="2:10">
      <c r="B182" s="46" t="s">
        <v>217</v>
      </c>
      <c r="C182" s="46" t="s">
        <v>20</v>
      </c>
      <c r="D182" s="49">
        <v>0.17</v>
      </c>
      <c r="F182" s="46" t="s">
        <v>571</v>
      </c>
      <c r="G182" s="46" t="s">
        <v>571</v>
      </c>
      <c r="I182" s="46" t="s">
        <v>571</v>
      </c>
      <c r="J182" s="46" t="s">
        <v>571</v>
      </c>
    </row>
    <row r="183" spans="2:10">
      <c r="B183" s="46" t="s">
        <v>218</v>
      </c>
      <c r="C183" s="46" t="s">
        <v>20</v>
      </c>
      <c r="D183" s="49">
        <v>0.17</v>
      </c>
      <c r="F183" s="46" t="s">
        <v>571</v>
      </c>
      <c r="G183" s="46" t="s">
        <v>571</v>
      </c>
      <c r="I183" s="46" t="s">
        <v>571</v>
      </c>
      <c r="J183" s="46" t="s">
        <v>571</v>
      </c>
    </row>
    <row r="184" spans="2:10">
      <c r="B184" s="46" t="s">
        <v>219</v>
      </c>
      <c r="C184" s="46" t="s">
        <v>20</v>
      </c>
      <c r="D184" s="49">
        <v>0.16157455411571445</v>
      </c>
      <c r="F184" s="46" t="s">
        <v>571</v>
      </c>
      <c r="G184" s="46" t="s">
        <v>571</v>
      </c>
      <c r="I184" s="46" t="s">
        <v>571</v>
      </c>
      <c r="J184" s="46" t="s">
        <v>571</v>
      </c>
    </row>
    <row r="185" spans="2:10">
      <c r="B185" s="46" t="s">
        <v>220</v>
      </c>
      <c r="C185" s="46" t="s">
        <v>20</v>
      </c>
      <c r="D185" s="49">
        <v>0.16157455411571642</v>
      </c>
      <c r="F185" s="46" t="s">
        <v>571</v>
      </c>
      <c r="G185" s="46" t="s">
        <v>571</v>
      </c>
      <c r="I185" s="46" t="s">
        <v>571</v>
      </c>
      <c r="J185" s="46" t="s">
        <v>571</v>
      </c>
    </row>
    <row r="186" spans="2:10">
      <c r="B186" s="46" t="s">
        <v>221</v>
      </c>
      <c r="C186" s="46" t="s">
        <v>20</v>
      </c>
      <c r="D186" s="49">
        <v>0.16157455411571164</v>
      </c>
      <c r="F186" s="46" t="s">
        <v>571</v>
      </c>
      <c r="G186" s="46" t="s">
        <v>571</v>
      </c>
      <c r="I186" s="46" t="s">
        <v>571</v>
      </c>
      <c r="J186" s="46" t="s">
        <v>571</v>
      </c>
    </row>
    <row r="187" spans="2:10">
      <c r="B187" s="46" t="s">
        <v>222</v>
      </c>
      <c r="C187" s="46" t="s">
        <v>20</v>
      </c>
      <c r="D187" s="49">
        <v>0.17</v>
      </c>
      <c r="F187" s="46" t="s">
        <v>571</v>
      </c>
      <c r="G187" s="46" t="s">
        <v>571</v>
      </c>
      <c r="I187" s="46" t="s">
        <v>571</v>
      </c>
      <c r="J187" s="46" t="s">
        <v>571</v>
      </c>
    </row>
    <row r="188" spans="2:10">
      <c r="B188" s="46" t="s">
        <v>223</v>
      </c>
      <c r="C188" s="46" t="s">
        <v>20</v>
      </c>
      <c r="D188" s="49">
        <v>0.17</v>
      </c>
      <c r="F188" s="46" t="s">
        <v>571</v>
      </c>
      <c r="G188" s="46" t="s">
        <v>571</v>
      </c>
      <c r="I188" s="46" t="s">
        <v>571</v>
      </c>
      <c r="J188" s="46" t="s">
        <v>571</v>
      </c>
    </row>
    <row r="189" spans="2:10">
      <c r="B189" s="46" t="s">
        <v>224</v>
      </c>
      <c r="C189" s="46" t="s">
        <v>20</v>
      </c>
      <c r="D189" s="49">
        <v>0.17</v>
      </c>
      <c r="F189" s="46" t="s">
        <v>571</v>
      </c>
      <c r="G189" s="46" t="s">
        <v>571</v>
      </c>
      <c r="I189" s="46" t="s">
        <v>571</v>
      </c>
      <c r="J189" s="46" t="s">
        <v>571</v>
      </c>
    </row>
    <row r="190" spans="2:10">
      <c r="B190" s="46" t="s">
        <v>225</v>
      </c>
      <c r="C190" s="46" t="s">
        <v>20</v>
      </c>
      <c r="D190" s="49">
        <v>0.17</v>
      </c>
      <c r="F190" s="46" t="s">
        <v>571</v>
      </c>
      <c r="G190" s="46" t="s">
        <v>571</v>
      </c>
      <c r="I190" s="46" t="s">
        <v>571</v>
      </c>
      <c r="J190" s="46" t="s">
        <v>571</v>
      </c>
    </row>
    <row r="191" spans="2:10">
      <c r="B191" s="46" t="s">
        <v>226</v>
      </c>
      <c r="C191" s="46" t="s">
        <v>20</v>
      </c>
      <c r="D191" s="49">
        <v>0.1591158284679598</v>
      </c>
      <c r="F191" s="46" t="s">
        <v>571</v>
      </c>
      <c r="G191" s="46" t="s">
        <v>571</v>
      </c>
      <c r="I191" s="46" t="s">
        <v>571</v>
      </c>
      <c r="J191" s="46" t="s">
        <v>571</v>
      </c>
    </row>
    <row r="192" spans="2:10">
      <c r="B192" s="46" t="s">
        <v>227</v>
      </c>
      <c r="C192" s="46" t="s">
        <v>20</v>
      </c>
      <c r="D192" s="49">
        <v>0.15911582846795971</v>
      </c>
      <c r="F192" s="46" t="s">
        <v>571</v>
      </c>
      <c r="G192" s="46" t="s">
        <v>571</v>
      </c>
      <c r="I192" s="46" t="s">
        <v>571</v>
      </c>
      <c r="J192" s="46" t="s">
        <v>571</v>
      </c>
    </row>
    <row r="193" spans="2:10">
      <c r="B193" s="46" t="s">
        <v>228</v>
      </c>
      <c r="C193" s="46" t="s">
        <v>20</v>
      </c>
      <c r="D193" s="49">
        <v>0.15911582846795982</v>
      </c>
      <c r="F193" s="46" t="s">
        <v>571</v>
      </c>
      <c r="G193" s="46" t="s">
        <v>571</v>
      </c>
      <c r="I193" s="46" t="s">
        <v>571</v>
      </c>
      <c r="J193" s="46" t="s">
        <v>571</v>
      </c>
    </row>
    <row r="194" spans="2:10">
      <c r="B194" s="46" t="s">
        <v>229</v>
      </c>
      <c r="C194" s="46" t="s">
        <v>20</v>
      </c>
      <c r="D194" s="49">
        <v>0.15911582846795963</v>
      </c>
      <c r="F194" s="46" t="s">
        <v>571</v>
      </c>
      <c r="G194" s="46" t="s">
        <v>571</v>
      </c>
      <c r="I194" s="46" t="s">
        <v>571</v>
      </c>
      <c r="J194" s="46" t="s">
        <v>571</v>
      </c>
    </row>
    <row r="195" spans="2:10">
      <c r="B195" s="46" t="s">
        <v>230</v>
      </c>
      <c r="C195" s="46" t="s">
        <v>20</v>
      </c>
      <c r="D195" s="49">
        <v>0.17</v>
      </c>
      <c r="F195" s="46" t="s">
        <v>571</v>
      </c>
      <c r="G195" s="46" t="s">
        <v>571</v>
      </c>
      <c r="I195" s="46" t="s">
        <v>571</v>
      </c>
      <c r="J195" s="46" t="s">
        <v>571</v>
      </c>
    </row>
    <row r="196" spans="2:10">
      <c r="B196" s="46" t="s">
        <v>231</v>
      </c>
      <c r="C196" s="46" t="s">
        <v>20</v>
      </c>
      <c r="D196" s="49">
        <v>0.17</v>
      </c>
      <c r="F196" s="46" t="s">
        <v>571</v>
      </c>
      <c r="G196" s="46" t="s">
        <v>571</v>
      </c>
      <c r="I196" s="46" t="s">
        <v>571</v>
      </c>
      <c r="J196" s="46" t="s">
        <v>571</v>
      </c>
    </row>
    <row r="197" spans="2:10">
      <c r="B197" s="46" t="s">
        <v>232</v>
      </c>
      <c r="C197" s="46" t="s">
        <v>20</v>
      </c>
      <c r="D197" s="49">
        <v>0.17</v>
      </c>
      <c r="F197" s="46" t="s">
        <v>571</v>
      </c>
      <c r="G197" s="46" t="s">
        <v>571</v>
      </c>
      <c r="I197" s="46" t="s">
        <v>571</v>
      </c>
      <c r="J197" s="46" t="s">
        <v>571</v>
      </c>
    </row>
    <row r="198" spans="2:10" ht="13.5" thickBot="1">
      <c r="B198" s="45" t="s">
        <v>233</v>
      </c>
      <c r="C198" s="45" t="s">
        <v>20</v>
      </c>
      <c r="D198" s="50">
        <v>0.1591158284679598</v>
      </c>
      <c r="F198" s="45" t="s">
        <v>571</v>
      </c>
      <c r="G198" s="45" t="s">
        <v>571</v>
      </c>
      <c r="I198" s="45" t="s">
        <v>571</v>
      </c>
      <c r="J198" s="45" t="s">
        <v>571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1:AF60"/>
  <sheetViews>
    <sheetView showGridLines="0" tabSelected="1" topLeftCell="B1" zoomScale="85" zoomScaleNormal="85" workbookViewId="0">
      <pane xSplit="6" ySplit="12" topLeftCell="H13" activePane="bottomRight" state="frozen"/>
      <selection activeCell="B1" sqref="B1"/>
      <selection pane="topRight" activeCell="H1" sqref="H1"/>
      <selection pane="bottomLeft" activeCell="B13" sqref="B13"/>
      <selection pane="bottomRight" activeCell="H15" sqref="H15"/>
    </sheetView>
  </sheetViews>
  <sheetFormatPr defaultRowHeight="12.75"/>
  <cols>
    <col min="1" max="1" width="2.375" customWidth="1"/>
    <col min="2" max="2" width="4.75" bestFit="1" customWidth="1"/>
    <col min="3" max="3" width="22.125" bestFit="1" customWidth="1"/>
    <col min="4" max="4" width="13.25" bestFit="1" customWidth="1"/>
    <col min="5" max="5" width="18.625" bestFit="1" customWidth="1"/>
    <col min="6" max="6" width="4" customWidth="1"/>
    <col min="7" max="7" width="18" style="2" bestFit="1" customWidth="1"/>
    <col min="8" max="8" width="22.25" style="2" bestFit="1" customWidth="1"/>
    <col min="9" max="9" width="3" style="2" customWidth="1"/>
    <col min="10" max="10" width="29.125" style="35" bestFit="1" customWidth="1"/>
    <col min="11" max="12" width="16.125" style="2" bestFit="1" customWidth="1"/>
    <col min="13" max="13" width="16" style="2" bestFit="1" customWidth="1"/>
    <col min="14" max="14" width="20.875" style="2" bestFit="1" customWidth="1"/>
    <col min="15" max="15" width="13.625" style="2" bestFit="1" customWidth="1"/>
    <col min="16" max="16" width="12.875" style="35" bestFit="1" customWidth="1"/>
    <col min="17" max="17" width="12.875" style="2" bestFit="1" customWidth="1"/>
    <col min="18" max="18" width="1.625" style="2" customWidth="1"/>
    <col min="19" max="19" width="14.125" style="2" bestFit="1" customWidth="1"/>
    <col min="20" max="20" width="5.75" style="2" bestFit="1" customWidth="1"/>
    <col min="21" max="21" width="1.625" style="37" customWidth="1"/>
    <col min="22" max="22" width="20.5" style="2" bestFit="1" customWidth="1"/>
    <col min="23" max="23" width="1.75" style="2" customWidth="1"/>
    <col min="24" max="24" width="16.5" style="2" bestFit="1" customWidth="1"/>
    <col min="25" max="25" width="5.5" style="60" bestFit="1" customWidth="1"/>
    <col min="26" max="26" width="9.5" style="2" customWidth="1"/>
    <col min="27" max="27" width="20.25" bestFit="1" customWidth="1"/>
    <col min="28" max="28" width="15.625" style="17" bestFit="1" customWidth="1"/>
    <col min="29" max="29" width="15.625" bestFit="1" customWidth="1"/>
    <col min="30" max="30" width="14.375" customWidth="1"/>
  </cols>
  <sheetData>
    <row r="1" spans="2:32">
      <c r="H1" s="78" t="s">
        <v>578</v>
      </c>
      <c r="I1" s="78"/>
      <c r="J1" s="78"/>
      <c r="K1" s="78"/>
      <c r="L1" s="78"/>
      <c r="M1" s="78"/>
    </row>
    <row r="2" spans="2:32" ht="14.25">
      <c r="C2" s="41" t="s">
        <v>29</v>
      </c>
      <c r="D2" s="43"/>
      <c r="H2" s="78"/>
      <c r="I2" s="78"/>
      <c r="J2" s="78"/>
      <c r="K2" s="78"/>
      <c r="L2" s="78"/>
      <c r="M2" s="78"/>
      <c r="AA2" s="77" t="s">
        <v>21</v>
      </c>
      <c r="AB2" s="77"/>
      <c r="AC2" s="77"/>
    </row>
    <row r="3" spans="2:32">
      <c r="C3" s="42" t="s">
        <v>30</v>
      </c>
      <c r="D3" s="44"/>
      <c r="H3" s="78"/>
      <c r="I3" s="78"/>
      <c r="J3" s="78"/>
      <c r="K3" s="78"/>
      <c r="L3" s="78"/>
      <c r="M3" s="78"/>
    </row>
    <row r="4" spans="2:32">
      <c r="AA4" t="s">
        <v>22</v>
      </c>
      <c r="AB4" s="67">
        <f>0.982*0.95</f>
        <v>0.93289999999999995</v>
      </c>
    </row>
    <row r="5" spans="2:32">
      <c r="H5" s="12">
        <f>J45+O45</f>
        <v>2633.8899554191053</v>
      </c>
      <c r="AA5" t="s">
        <v>23</v>
      </c>
      <c r="AB5" s="67">
        <f>0.769*0.95</f>
        <v>0.73055000000000003</v>
      </c>
    </row>
    <row r="6" spans="2:32" ht="15">
      <c r="B6" s="2"/>
      <c r="C6" t="s">
        <v>15</v>
      </c>
      <c r="D6" s="16">
        <v>76</v>
      </c>
      <c r="E6" s="17"/>
      <c r="G6" s="55" t="s">
        <v>577</v>
      </c>
      <c r="H6" s="69" t="s">
        <v>582</v>
      </c>
    </row>
    <row r="7" spans="2:32">
      <c r="B7" s="2"/>
      <c r="C7" t="s">
        <v>16</v>
      </c>
      <c r="D7" s="16">
        <v>165</v>
      </c>
      <c r="E7" s="17"/>
      <c r="G7" s="56" t="s">
        <v>17</v>
      </c>
      <c r="H7" s="57">
        <f>D6*J45</f>
        <v>99461.693240000066</v>
      </c>
      <c r="AA7" t="s">
        <v>24</v>
      </c>
      <c r="AB7" s="16">
        <f>145.8+5</f>
        <v>150.80000000000001</v>
      </c>
    </row>
    <row r="8" spans="2:32">
      <c r="B8" s="8"/>
      <c r="C8" s="1"/>
      <c r="D8" s="19"/>
      <c r="E8" s="23"/>
      <c r="G8" s="56" t="s">
        <v>18</v>
      </c>
      <c r="H8" s="57">
        <f>D7*O45</f>
        <v>218655.27179415221</v>
      </c>
      <c r="AA8" t="s">
        <v>25</v>
      </c>
      <c r="AB8" s="16">
        <f>244.2-20</f>
        <v>224.2</v>
      </c>
    </row>
    <row r="9" spans="2:32">
      <c r="B9" s="7"/>
      <c r="C9" s="54"/>
      <c r="D9" s="22"/>
      <c r="E9" s="22"/>
      <c r="G9" s="58" t="s">
        <v>19</v>
      </c>
      <c r="H9" s="59">
        <f>SUM(X13:X43)</f>
        <v>318116.96503415215</v>
      </c>
      <c r="K9" s="6"/>
      <c r="L9" s="6"/>
    </row>
    <row r="10" spans="2:32">
      <c r="B10" s="5"/>
      <c r="C10" s="29" t="s">
        <v>9</v>
      </c>
      <c r="D10" s="26">
        <v>0.17</v>
      </c>
      <c r="E10" s="22"/>
      <c r="J10" s="34"/>
    </row>
    <row r="11" spans="2:32" s="1" customFormat="1">
      <c r="B11" s="5"/>
      <c r="C11" s="9"/>
      <c r="D11" s="18"/>
      <c r="E11" s="24"/>
      <c r="G11" s="8"/>
      <c r="H11" s="8"/>
      <c r="I11" s="8"/>
      <c r="J11" s="34" t="s">
        <v>7</v>
      </c>
      <c r="K11" s="76" t="s">
        <v>8</v>
      </c>
      <c r="L11" s="76"/>
      <c r="M11" s="76"/>
      <c r="N11" s="76"/>
      <c r="O11" s="76"/>
      <c r="P11" s="76"/>
      <c r="Q11" s="76"/>
      <c r="R11" s="8"/>
      <c r="S11" s="8"/>
      <c r="T11" s="8"/>
      <c r="U11" s="36"/>
      <c r="V11" s="8"/>
      <c r="W11" s="8"/>
      <c r="X11" s="8"/>
      <c r="Y11" s="61"/>
      <c r="AC11" s="11"/>
      <c r="AD11" s="11"/>
      <c r="AE11" s="11"/>
      <c r="AF11" s="11"/>
    </row>
    <row r="12" spans="2:32">
      <c r="B12" s="27"/>
      <c r="G12" s="8" t="s">
        <v>0</v>
      </c>
      <c r="H12" s="8" t="s">
        <v>6</v>
      </c>
      <c r="I12" s="8"/>
      <c r="J12" s="52" t="s">
        <v>586</v>
      </c>
      <c r="K12" s="52" t="s">
        <v>583</v>
      </c>
      <c r="L12" s="52" t="s">
        <v>584</v>
      </c>
      <c r="M12" s="52" t="s">
        <v>585</v>
      </c>
      <c r="N12" s="52" t="s">
        <v>587</v>
      </c>
      <c r="O12" s="34" t="s">
        <v>28</v>
      </c>
      <c r="P12" s="34" t="s">
        <v>27</v>
      </c>
      <c r="Q12" s="34" t="s">
        <v>26</v>
      </c>
      <c r="R12" s="7"/>
      <c r="S12" s="10" t="s">
        <v>20</v>
      </c>
      <c r="V12" s="8" t="s">
        <v>4</v>
      </c>
      <c r="X12" s="8" t="s">
        <v>5</v>
      </c>
      <c r="AA12" s="52" t="s">
        <v>579</v>
      </c>
      <c r="AB12" s="52" t="s">
        <v>580</v>
      </c>
      <c r="AC12" s="52" t="s">
        <v>581</v>
      </c>
      <c r="AD12" s="2"/>
      <c r="AE12" s="2"/>
      <c r="AF12" s="2"/>
    </row>
    <row r="13" spans="2:32">
      <c r="B13" s="27"/>
      <c r="C13" s="29"/>
      <c r="D13" s="53"/>
      <c r="G13" s="8">
        <v>1</v>
      </c>
      <c r="H13" s="15">
        <v>10230</v>
      </c>
      <c r="I13" s="8"/>
      <c r="J13" s="40">
        <v>44.425679999999993</v>
      </c>
      <c r="K13" s="40">
        <v>0</v>
      </c>
      <c r="L13" s="40">
        <v>0</v>
      </c>
      <c r="M13" s="40">
        <v>0</v>
      </c>
      <c r="N13" s="40">
        <v>47.647799272727276</v>
      </c>
      <c r="O13" s="5">
        <f>SUM(K13:N13)</f>
        <v>47.647799272727276</v>
      </c>
      <c r="P13" s="68">
        <f t="shared" ref="P13:P43" si="0">(24*((24-AA13)/24)*$AB$4*$AB$7)/$D$6</f>
        <v>44.42568</v>
      </c>
      <c r="Q13" s="68">
        <f t="shared" ref="Q13:Q43" si="1">(48*((48-AB13-AC13)/48)*$AB$5*$AB$8/$D$7)</f>
        <v>47.647799272727276</v>
      </c>
      <c r="R13" s="5"/>
      <c r="S13" s="39">
        <v>0.16157455411571439</v>
      </c>
      <c r="T13" s="79">
        <f t="shared" ref="T13:T43" si="2">$D$10</f>
        <v>0.17</v>
      </c>
      <c r="U13" s="13"/>
      <c r="V13" s="5">
        <f>(J13/$D$16*$D$6+O13/$D$17*$D$7)*(1-S13)*(1-$D$15)</f>
        <v>10230</v>
      </c>
      <c r="X13" s="5">
        <f>O13*$D$7+J13*$D$6</f>
        <v>11238.23856</v>
      </c>
      <c r="Y13" s="62">
        <f>V13-H13</f>
        <v>0</v>
      </c>
      <c r="Z13" s="5"/>
      <c r="AA13" s="63"/>
      <c r="AB13" s="64"/>
      <c r="AC13" s="65"/>
      <c r="AD13" s="32"/>
      <c r="AE13" s="32"/>
      <c r="AF13" s="33"/>
    </row>
    <row r="14" spans="2:32">
      <c r="B14" s="5"/>
      <c r="C14" s="30"/>
      <c r="D14" s="28"/>
      <c r="G14" s="8">
        <v>2</v>
      </c>
      <c r="H14" s="15">
        <v>10230</v>
      </c>
      <c r="I14" s="8"/>
      <c r="J14" s="40">
        <v>44.425679999999993</v>
      </c>
      <c r="K14" s="40">
        <v>0</v>
      </c>
      <c r="L14" s="40">
        <v>-9.9999999999944578E-4</v>
      </c>
      <c r="M14" s="40">
        <v>0</v>
      </c>
      <c r="N14" s="40">
        <v>47.648799272727274</v>
      </c>
      <c r="O14" s="5">
        <f t="shared" ref="O14:O43" si="3">SUM(K14:N14)</f>
        <v>47.647799272727276</v>
      </c>
      <c r="P14" s="68">
        <f t="shared" si="0"/>
        <v>44.42568</v>
      </c>
      <c r="Q14" s="68">
        <f t="shared" si="1"/>
        <v>47.647799272727276</v>
      </c>
      <c r="R14" s="5"/>
      <c r="S14" s="39">
        <v>0.16157455411571442</v>
      </c>
      <c r="T14" s="79">
        <f t="shared" si="2"/>
        <v>0.17</v>
      </c>
      <c r="U14" s="13"/>
      <c r="V14" s="5">
        <f t="shared" ref="V14:V43" si="4">(J14/$D$16*$D$6+O14/$D$17*$D$7)*(1-S14)*(1-$D$15)</f>
        <v>10230</v>
      </c>
      <c r="X14" s="5">
        <f t="shared" ref="X14:X43" si="5">O14*$D$7+J14*$D$6</f>
        <v>11238.23856</v>
      </c>
      <c r="Y14" s="62">
        <f t="shared" ref="Y14:Y43" si="6">V14-H14</f>
        <v>0</v>
      </c>
      <c r="Z14" s="5"/>
      <c r="AA14" s="63"/>
      <c r="AB14" s="64"/>
      <c r="AC14" s="65"/>
      <c r="AD14" s="32"/>
      <c r="AE14" s="32"/>
      <c r="AF14" s="33"/>
    </row>
    <row r="15" spans="2:32">
      <c r="B15" s="27"/>
      <c r="C15" s="29" t="s">
        <v>12</v>
      </c>
      <c r="D15" s="26">
        <v>2.2700000000000001E-2</v>
      </c>
      <c r="G15" s="8">
        <v>3</v>
      </c>
      <c r="H15" s="15">
        <v>10230</v>
      </c>
      <c r="I15" s="8"/>
      <c r="J15" s="40">
        <v>44.425679999999993</v>
      </c>
      <c r="K15" s="40">
        <v>-9.9999999999988987E-4</v>
      </c>
      <c r="L15" s="40">
        <v>-9.9999999999988987E-4</v>
      </c>
      <c r="M15" s="40">
        <v>-9.9999999999944578E-4</v>
      </c>
      <c r="N15" s="40">
        <v>47.650799272727276</v>
      </c>
      <c r="O15" s="5">
        <f t="shared" si="3"/>
        <v>47.647799272727276</v>
      </c>
      <c r="P15" s="68">
        <f t="shared" si="0"/>
        <v>44.42568</v>
      </c>
      <c r="Q15" s="68">
        <f t="shared" si="1"/>
        <v>47.647799272727276</v>
      </c>
      <c r="R15" s="5"/>
      <c r="S15" s="39">
        <v>0.16157455411571439</v>
      </c>
      <c r="T15" s="79">
        <f t="shared" si="2"/>
        <v>0.17</v>
      </c>
      <c r="U15" s="13"/>
      <c r="V15" s="5">
        <f t="shared" si="4"/>
        <v>10230</v>
      </c>
      <c r="X15" s="5">
        <f t="shared" si="5"/>
        <v>11238.23856</v>
      </c>
      <c r="Y15" s="62">
        <f t="shared" si="6"/>
        <v>0</v>
      </c>
      <c r="Z15" s="5"/>
      <c r="AA15" s="63"/>
      <c r="AB15" s="64"/>
      <c r="AC15" s="65"/>
      <c r="AD15" s="32"/>
      <c r="AE15" s="32"/>
      <c r="AF15" s="33"/>
    </row>
    <row r="16" spans="2:32">
      <c r="B16" s="27"/>
      <c r="C16" t="s">
        <v>11</v>
      </c>
      <c r="D16" s="26">
        <v>0.90049999999999997</v>
      </c>
      <c r="G16" s="8">
        <v>4</v>
      </c>
      <c r="H16" s="15">
        <v>10230</v>
      </c>
      <c r="I16" s="8"/>
      <c r="J16" s="40">
        <v>44.425679999999993</v>
      </c>
      <c r="K16" s="40">
        <v>12</v>
      </c>
      <c r="L16" s="40">
        <v>0</v>
      </c>
      <c r="M16" s="40">
        <v>-9.9999999999944578E-4</v>
      </c>
      <c r="N16" s="40">
        <v>35.648799272727281</v>
      </c>
      <c r="O16" s="5">
        <f t="shared" si="3"/>
        <v>47.647799272727283</v>
      </c>
      <c r="P16" s="68">
        <f t="shared" si="0"/>
        <v>44.42568</v>
      </c>
      <c r="Q16" s="68">
        <f t="shared" si="1"/>
        <v>47.647799272727276</v>
      </c>
      <c r="R16" s="5"/>
      <c r="S16" s="39">
        <v>0.16157455411571439</v>
      </c>
      <c r="T16" s="79">
        <f t="shared" si="2"/>
        <v>0.17</v>
      </c>
      <c r="U16" s="13"/>
      <c r="V16" s="5">
        <f t="shared" si="4"/>
        <v>10230.000000000002</v>
      </c>
      <c r="X16" s="5">
        <f t="shared" si="5"/>
        <v>11238.238560000002</v>
      </c>
      <c r="Y16" s="62">
        <f t="shared" si="6"/>
        <v>0</v>
      </c>
      <c r="Z16" s="5"/>
      <c r="AA16" s="63"/>
      <c r="AB16" s="64"/>
      <c r="AC16" s="65"/>
      <c r="AD16" s="32"/>
      <c r="AE16" s="32"/>
      <c r="AF16" s="33"/>
    </row>
    <row r="17" spans="3:32">
      <c r="C17" t="s">
        <v>10</v>
      </c>
      <c r="D17" s="26">
        <v>0.9</v>
      </c>
      <c r="G17" s="8">
        <v>5</v>
      </c>
      <c r="H17" s="15">
        <v>10230</v>
      </c>
      <c r="I17" s="8"/>
      <c r="J17" s="40">
        <v>44.425679999999993</v>
      </c>
      <c r="K17" s="40">
        <v>12</v>
      </c>
      <c r="L17" s="40">
        <v>-9.9999999999988987E-4</v>
      </c>
      <c r="M17" s="40">
        <v>-9.9999999999988987E-4</v>
      </c>
      <c r="N17" s="40">
        <v>35.649799272727279</v>
      </c>
      <c r="O17" s="5">
        <f t="shared" si="3"/>
        <v>47.647799272727283</v>
      </c>
      <c r="P17" s="68">
        <f t="shared" si="0"/>
        <v>44.42568</v>
      </c>
      <c r="Q17" s="68">
        <f t="shared" si="1"/>
        <v>47.647799272727276</v>
      </c>
      <c r="R17" s="5"/>
      <c r="S17" s="39">
        <v>0.16157455411571439</v>
      </c>
      <c r="T17" s="79">
        <f t="shared" si="2"/>
        <v>0.17</v>
      </c>
      <c r="U17" s="13"/>
      <c r="V17" s="5">
        <f t="shared" si="4"/>
        <v>10230.000000000002</v>
      </c>
      <c r="X17" s="5">
        <f t="shared" si="5"/>
        <v>11238.238560000002</v>
      </c>
      <c r="Y17" s="62">
        <f t="shared" si="6"/>
        <v>0</v>
      </c>
      <c r="Z17" s="5"/>
      <c r="AA17" s="63"/>
      <c r="AB17" s="64"/>
      <c r="AC17" s="65"/>
      <c r="AD17" s="32"/>
      <c r="AE17" s="32"/>
      <c r="AF17" s="33"/>
    </row>
    <row r="18" spans="3:32">
      <c r="G18" s="8">
        <v>6</v>
      </c>
      <c r="H18" s="15">
        <v>10230</v>
      </c>
      <c r="I18" s="8"/>
      <c r="J18" s="40">
        <v>44.425679999999993</v>
      </c>
      <c r="K18" s="40">
        <v>12</v>
      </c>
      <c r="L18" s="40">
        <v>0</v>
      </c>
      <c r="M18" s="40">
        <v>0</v>
      </c>
      <c r="N18" s="40">
        <v>35.647799272727276</v>
      </c>
      <c r="O18" s="5">
        <f t="shared" si="3"/>
        <v>47.647799272727276</v>
      </c>
      <c r="P18" s="68">
        <f t="shared" si="0"/>
        <v>44.42568</v>
      </c>
      <c r="Q18" s="68">
        <f t="shared" si="1"/>
        <v>47.647799272727276</v>
      </c>
      <c r="R18" s="5"/>
      <c r="S18" s="39">
        <v>0.16157455411571442</v>
      </c>
      <c r="T18" s="79">
        <f t="shared" si="2"/>
        <v>0.17</v>
      </c>
      <c r="U18" s="13"/>
      <c r="V18" s="5">
        <f t="shared" si="4"/>
        <v>10230</v>
      </c>
      <c r="X18" s="5">
        <f t="shared" si="5"/>
        <v>11238.23856</v>
      </c>
      <c r="Y18" s="62">
        <f t="shared" si="6"/>
        <v>0</v>
      </c>
      <c r="Z18" s="5"/>
      <c r="AA18" s="63"/>
      <c r="AB18" s="64"/>
      <c r="AC18" s="65"/>
      <c r="AD18" s="32"/>
      <c r="AE18" s="32"/>
      <c r="AF18" s="33"/>
    </row>
    <row r="19" spans="3:32">
      <c r="D19" t="s">
        <v>13</v>
      </c>
      <c r="E19" s="25" t="s">
        <v>14</v>
      </c>
      <c r="G19" s="8">
        <v>7</v>
      </c>
      <c r="H19" s="15">
        <v>8850</v>
      </c>
      <c r="I19" s="8"/>
      <c r="J19" s="40">
        <v>44.42568</v>
      </c>
      <c r="K19" s="40">
        <v>12.000999999999999</v>
      </c>
      <c r="L19" s="40">
        <v>27.058431736066922</v>
      </c>
      <c r="M19" s="40">
        <v>0</v>
      </c>
      <c r="N19" s="40">
        <v>0</v>
      </c>
      <c r="O19" s="5">
        <f t="shared" si="3"/>
        <v>39.059431736066919</v>
      </c>
      <c r="P19" s="68">
        <f t="shared" si="0"/>
        <v>44.42568</v>
      </c>
      <c r="Q19" s="68">
        <f t="shared" si="1"/>
        <v>47.647799272727276</v>
      </c>
      <c r="R19" s="5"/>
      <c r="S19" s="39">
        <v>0.17</v>
      </c>
      <c r="T19" s="79">
        <f t="shared" si="2"/>
        <v>0.17</v>
      </c>
      <c r="U19" s="13"/>
      <c r="V19" s="5">
        <f t="shared" si="4"/>
        <v>8849.9999410283617</v>
      </c>
      <c r="X19" s="5">
        <f t="shared" si="5"/>
        <v>9821.1579164510404</v>
      </c>
      <c r="Y19" s="62">
        <f t="shared" si="6"/>
        <v>-5.897163828194607E-5</v>
      </c>
      <c r="Z19" s="5"/>
      <c r="AA19" s="63"/>
      <c r="AB19" s="64"/>
      <c r="AC19" s="65"/>
      <c r="AD19" s="32"/>
      <c r="AE19" s="32"/>
      <c r="AF19" s="33"/>
    </row>
    <row r="20" spans="3:32">
      <c r="C20" t="s">
        <v>576</v>
      </c>
      <c r="D20" s="16">
        <v>50</v>
      </c>
      <c r="E20" s="14">
        <v>900</v>
      </c>
      <c r="G20" s="8">
        <v>8</v>
      </c>
      <c r="H20" s="15">
        <v>8450</v>
      </c>
      <c r="I20" s="8"/>
      <c r="J20" s="40">
        <v>44.42568</v>
      </c>
      <c r="K20" s="40">
        <v>0</v>
      </c>
      <c r="L20" s="40">
        <v>35.848051571385795</v>
      </c>
      <c r="M20" s="40">
        <v>0.52162601961780442</v>
      </c>
      <c r="N20" s="40">
        <v>0</v>
      </c>
      <c r="O20" s="5">
        <f t="shared" si="3"/>
        <v>36.369677591003601</v>
      </c>
      <c r="P20" s="68">
        <f t="shared" si="0"/>
        <v>44.42568</v>
      </c>
      <c r="Q20" s="68">
        <f t="shared" si="1"/>
        <v>47.647799272727276</v>
      </c>
      <c r="R20" s="5"/>
      <c r="S20" s="39">
        <v>0.17</v>
      </c>
      <c r="T20" s="79">
        <f t="shared" si="2"/>
        <v>0.17</v>
      </c>
      <c r="U20" s="13"/>
      <c r="V20" s="5">
        <f t="shared" si="4"/>
        <v>8449.9999225598676</v>
      </c>
      <c r="X20" s="5">
        <f t="shared" si="5"/>
        <v>9377.3484825155938</v>
      </c>
      <c r="Y20" s="62">
        <f t="shared" si="6"/>
        <v>-7.7440132372430526E-5</v>
      </c>
      <c r="Z20" s="5"/>
      <c r="AA20" s="63"/>
      <c r="AB20" s="64"/>
      <c r="AC20" s="65"/>
      <c r="AD20" s="32"/>
      <c r="AE20" s="32"/>
      <c r="AF20" s="33"/>
    </row>
    <row r="21" spans="3:32">
      <c r="D21" s="22"/>
      <c r="E21" s="31"/>
      <c r="G21" s="8">
        <v>9</v>
      </c>
      <c r="H21" s="15">
        <v>9250</v>
      </c>
      <c r="I21" s="8"/>
      <c r="J21" s="40">
        <v>44.42568</v>
      </c>
      <c r="K21" s="40">
        <v>10.001469279946001</v>
      </c>
      <c r="L21" s="40">
        <v>27.710488062772541</v>
      </c>
      <c r="M21" s="40">
        <v>4.0372285384156346</v>
      </c>
      <c r="N21" s="40">
        <v>0</v>
      </c>
      <c r="O21" s="5">
        <f t="shared" si="3"/>
        <v>41.749185881134174</v>
      </c>
      <c r="P21" s="68">
        <f t="shared" si="0"/>
        <v>44.42568</v>
      </c>
      <c r="Q21" s="68">
        <f t="shared" si="1"/>
        <v>47.647799272727276</v>
      </c>
      <c r="R21" s="5"/>
      <c r="S21" s="39">
        <v>0.17</v>
      </c>
      <c r="T21" s="79">
        <f t="shared" si="2"/>
        <v>0.17</v>
      </c>
      <c r="U21" s="13"/>
      <c r="V21" s="5">
        <f t="shared" si="4"/>
        <v>9249.9999594974379</v>
      </c>
      <c r="X21" s="5">
        <f t="shared" si="5"/>
        <v>10264.967350387138</v>
      </c>
      <c r="Y21" s="62">
        <f t="shared" si="6"/>
        <v>-4.0502562114852481E-5</v>
      </c>
      <c r="Z21" s="5"/>
      <c r="AA21" s="63"/>
      <c r="AB21" s="64"/>
      <c r="AC21" s="65"/>
      <c r="AD21" s="32"/>
      <c r="AE21" s="32"/>
      <c r="AF21" s="33"/>
    </row>
    <row r="22" spans="3:32">
      <c r="C22" t="s">
        <v>572</v>
      </c>
      <c r="D22" s="16">
        <v>12</v>
      </c>
      <c r="E22" s="14">
        <v>310</v>
      </c>
      <c r="G22" s="8">
        <v>10</v>
      </c>
      <c r="H22" s="15">
        <v>9750</v>
      </c>
      <c r="I22" s="8"/>
      <c r="J22" s="40">
        <v>44.42568</v>
      </c>
      <c r="K22" s="40">
        <v>12</v>
      </c>
      <c r="L22" s="40">
        <v>33.111378562468197</v>
      </c>
      <c r="M22" s="40">
        <v>0</v>
      </c>
      <c r="N22" s="40">
        <v>0</v>
      </c>
      <c r="O22" s="5">
        <f t="shared" si="3"/>
        <v>45.111378562468197</v>
      </c>
      <c r="P22" s="68">
        <f t="shared" si="0"/>
        <v>44.42568</v>
      </c>
      <c r="Q22" s="68">
        <f t="shared" si="1"/>
        <v>47.647799272727276</v>
      </c>
      <c r="R22" s="5"/>
      <c r="S22" s="39">
        <v>0.17</v>
      </c>
      <c r="T22" s="79">
        <f t="shared" si="2"/>
        <v>0.17</v>
      </c>
      <c r="U22" s="13"/>
      <c r="V22" s="5">
        <f t="shared" si="4"/>
        <v>9749.9999825837804</v>
      </c>
      <c r="X22" s="5">
        <f t="shared" si="5"/>
        <v>10819.729142807253</v>
      </c>
      <c r="Y22" s="62">
        <f t="shared" si="6"/>
        <v>-1.7416219634469599E-5</v>
      </c>
      <c r="Z22" s="5"/>
      <c r="AA22" s="63"/>
      <c r="AB22" s="64"/>
      <c r="AC22" s="65"/>
      <c r="AD22" s="32"/>
      <c r="AE22" s="32"/>
      <c r="AF22" s="33"/>
    </row>
    <row r="23" spans="3:32">
      <c r="C23" t="s">
        <v>573</v>
      </c>
      <c r="D23" s="16">
        <v>50</v>
      </c>
      <c r="E23" s="14">
        <v>408</v>
      </c>
      <c r="G23" s="8">
        <v>11</v>
      </c>
      <c r="H23" s="15">
        <v>10230</v>
      </c>
      <c r="I23" s="8"/>
      <c r="J23" s="40">
        <v>44.42568</v>
      </c>
      <c r="K23" s="40">
        <v>12</v>
      </c>
      <c r="L23" s="40">
        <v>28.789857535321044</v>
      </c>
      <c r="M23" s="40">
        <v>5.3378255457207731</v>
      </c>
      <c r="N23" s="40">
        <v>1.5201161916854553</v>
      </c>
      <c r="O23" s="5">
        <f t="shared" si="3"/>
        <v>47.647799272727276</v>
      </c>
      <c r="P23" s="68">
        <f t="shared" si="0"/>
        <v>44.42568</v>
      </c>
      <c r="Q23" s="68">
        <f t="shared" si="1"/>
        <v>47.647799272727276</v>
      </c>
      <c r="R23" s="5"/>
      <c r="S23" s="39">
        <v>0.16157455411571442</v>
      </c>
      <c r="T23" s="79">
        <f t="shared" si="2"/>
        <v>0.17</v>
      </c>
      <c r="U23" s="13"/>
      <c r="V23" s="5">
        <f t="shared" si="4"/>
        <v>10230</v>
      </c>
      <c r="X23" s="5">
        <f t="shared" si="5"/>
        <v>11238.238560000002</v>
      </c>
      <c r="Y23" s="62">
        <f t="shared" si="6"/>
        <v>0</v>
      </c>
      <c r="Z23" s="5"/>
      <c r="AA23" s="63"/>
      <c r="AB23" s="64"/>
      <c r="AC23" s="65"/>
      <c r="AD23" s="32"/>
      <c r="AE23" s="32"/>
      <c r="AF23" s="33"/>
    </row>
    <row r="24" spans="3:32">
      <c r="C24" t="s">
        <v>574</v>
      </c>
      <c r="D24" s="16">
        <v>12</v>
      </c>
      <c r="E24" s="14">
        <v>103</v>
      </c>
      <c r="G24" s="8">
        <v>12</v>
      </c>
      <c r="H24" s="15">
        <v>10230</v>
      </c>
      <c r="I24" s="8"/>
      <c r="J24" s="40">
        <v>44.42568</v>
      </c>
      <c r="K24" s="40">
        <v>12</v>
      </c>
      <c r="L24" s="40">
        <v>25.403475698517035</v>
      </c>
      <c r="M24" s="40">
        <v>5.3375058873689021</v>
      </c>
      <c r="N24" s="40">
        <v>4.9068176868413298</v>
      </c>
      <c r="O24" s="5">
        <f t="shared" si="3"/>
        <v>47.647799272727262</v>
      </c>
      <c r="P24" s="68">
        <f t="shared" si="0"/>
        <v>44.42568</v>
      </c>
      <c r="Q24" s="68">
        <f t="shared" si="1"/>
        <v>47.647799272727276</v>
      </c>
      <c r="R24" s="5"/>
      <c r="S24" s="39">
        <v>0.16157455411571439</v>
      </c>
      <c r="T24" s="79">
        <f t="shared" si="2"/>
        <v>0.17</v>
      </c>
      <c r="U24" s="13"/>
      <c r="V24" s="5">
        <f t="shared" si="4"/>
        <v>10229.999999999998</v>
      </c>
      <c r="X24" s="5">
        <f t="shared" si="5"/>
        <v>11238.238559999998</v>
      </c>
      <c r="Y24" s="62">
        <f t="shared" si="6"/>
        <v>0</v>
      </c>
      <c r="Z24" s="5"/>
      <c r="AA24" s="63"/>
      <c r="AB24" s="64"/>
      <c r="AC24" s="65"/>
      <c r="AD24" s="32"/>
      <c r="AE24" s="32"/>
      <c r="AF24" s="33"/>
    </row>
    <row r="25" spans="3:32">
      <c r="C25" t="s">
        <v>575</v>
      </c>
      <c r="D25" s="16">
        <v>50</v>
      </c>
      <c r="E25" s="14">
        <v>200</v>
      </c>
      <c r="G25" s="8">
        <v>13</v>
      </c>
      <c r="H25" s="15">
        <v>4530</v>
      </c>
      <c r="I25" s="8"/>
      <c r="J25" s="40">
        <v>44.42568</v>
      </c>
      <c r="K25" s="40">
        <v>0</v>
      </c>
      <c r="L25" s="40">
        <v>1.4889005915968949</v>
      </c>
      <c r="M25" s="40">
        <v>0</v>
      </c>
      <c r="N25" s="40">
        <v>8.5211879360963447</v>
      </c>
      <c r="O25" s="5">
        <f t="shared" si="3"/>
        <v>10.01008852769324</v>
      </c>
      <c r="P25" s="68">
        <f t="shared" si="0"/>
        <v>44.42568</v>
      </c>
      <c r="Q25" s="68">
        <f t="shared" si="1"/>
        <v>13.897274787878786</v>
      </c>
      <c r="R25" s="5"/>
      <c r="S25" s="39">
        <v>0.17</v>
      </c>
      <c r="T25" s="79">
        <f t="shared" si="2"/>
        <v>0.17</v>
      </c>
      <c r="U25" s="13"/>
      <c r="V25" s="5">
        <f t="shared" si="4"/>
        <v>4529.9999733088116</v>
      </c>
      <c r="X25" s="5">
        <f t="shared" si="5"/>
        <v>5028.0162870693839</v>
      </c>
      <c r="Y25" s="62">
        <f t="shared" si="6"/>
        <v>-2.6691188395489007E-5</v>
      </c>
      <c r="Z25" s="5"/>
      <c r="AA25" s="63"/>
      <c r="AB25" s="64">
        <v>17</v>
      </c>
      <c r="AC25" s="65">
        <v>17</v>
      </c>
      <c r="AD25" s="32"/>
      <c r="AE25" s="32"/>
      <c r="AF25" s="33"/>
    </row>
    <row r="26" spans="3:32">
      <c r="G26" s="8">
        <v>14</v>
      </c>
      <c r="H26" s="15">
        <v>6930</v>
      </c>
      <c r="I26" s="8"/>
      <c r="J26" s="40">
        <v>44.42568</v>
      </c>
      <c r="K26" s="40">
        <v>12.000999999999999</v>
      </c>
      <c r="L26" s="40">
        <v>0.49709592983650763</v>
      </c>
      <c r="M26" s="40">
        <v>2.5456233829813724</v>
      </c>
      <c r="N26" s="40">
        <v>11.104892985265266</v>
      </c>
      <c r="O26" s="5">
        <f t="shared" si="3"/>
        <v>26.148612298083144</v>
      </c>
      <c r="P26" s="68">
        <f t="shared" si="0"/>
        <v>44.42568</v>
      </c>
      <c r="Q26" s="68">
        <f t="shared" si="1"/>
        <v>37.72117442424242</v>
      </c>
      <c r="R26" s="5"/>
      <c r="S26" s="39">
        <v>0.17</v>
      </c>
      <c r="T26" s="79">
        <f t="shared" si="2"/>
        <v>0.17</v>
      </c>
      <c r="U26" s="13"/>
      <c r="V26" s="5">
        <f t="shared" si="4"/>
        <v>6929.9999205375234</v>
      </c>
      <c r="X26" s="5">
        <f t="shared" si="5"/>
        <v>7690.8727091837181</v>
      </c>
      <c r="Y26" s="62">
        <f t="shared" si="6"/>
        <v>-7.9462476605840493E-5</v>
      </c>
      <c r="Z26" s="5"/>
      <c r="AA26" s="63"/>
      <c r="AB26" s="64">
        <v>5</v>
      </c>
      <c r="AC26" s="65">
        <v>5</v>
      </c>
      <c r="AD26" s="32"/>
      <c r="AE26" s="32"/>
      <c r="AF26" s="33"/>
    </row>
    <row r="27" spans="3:32">
      <c r="G27" s="8">
        <v>15</v>
      </c>
      <c r="H27" s="15">
        <v>9600</v>
      </c>
      <c r="I27" s="8"/>
      <c r="J27" s="40">
        <v>44.42568</v>
      </c>
      <c r="K27" s="40">
        <v>11.999680722147493</v>
      </c>
      <c r="L27" s="40">
        <v>12.889183489981406</v>
      </c>
      <c r="M27" s="40">
        <v>5.337824985431296</v>
      </c>
      <c r="N27" s="40">
        <v>13.876031560507789</v>
      </c>
      <c r="O27" s="5">
        <f t="shared" si="3"/>
        <v>44.102720758067989</v>
      </c>
      <c r="P27" s="68">
        <f t="shared" si="0"/>
        <v>44.42568</v>
      </c>
      <c r="Q27" s="68">
        <f t="shared" si="1"/>
        <v>47.647799272727276</v>
      </c>
      <c r="R27" s="5"/>
      <c r="S27" s="39">
        <v>0.17</v>
      </c>
      <c r="T27" s="79">
        <f t="shared" si="2"/>
        <v>0.17</v>
      </c>
      <c r="U27" s="13"/>
      <c r="V27" s="5">
        <f t="shared" si="4"/>
        <v>9599.99997565788</v>
      </c>
      <c r="X27" s="5">
        <f t="shared" si="5"/>
        <v>10653.300605081218</v>
      </c>
      <c r="Y27" s="62">
        <f t="shared" si="6"/>
        <v>-2.4342120013898239E-5</v>
      </c>
      <c r="Z27" s="5"/>
      <c r="AA27" s="63"/>
      <c r="AB27" s="64"/>
      <c r="AC27" s="65"/>
      <c r="AD27" s="32"/>
      <c r="AE27" s="32"/>
      <c r="AF27" s="33"/>
    </row>
    <row r="28" spans="3:32">
      <c r="G28" s="8">
        <v>16</v>
      </c>
      <c r="H28" s="15">
        <v>9800</v>
      </c>
      <c r="I28" s="8"/>
      <c r="J28" s="40">
        <v>44.42568</v>
      </c>
      <c r="K28" s="40">
        <v>12</v>
      </c>
      <c r="L28" s="40">
        <v>14.233739956668394</v>
      </c>
      <c r="M28" s="40">
        <v>5.3381455235013417</v>
      </c>
      <c r="N28" s="40">
        <v>13.875712350431852</v>
      </c>
      <c r="O28" s="5">
        <f t="shared" si="3"/>
        <v>45.447597830601588</v>
      </c>
      <c r="P28" s="68">
        <f t="shared" si="0"/>
        <v>44.42568</v>
      </c>
      <c r="Q28" s="68">
        <f t="shared" si="1"/>
        <v>47.647799272727276</v>
      </c>
      <c r="R28" s="5"/>
      <c r="S28" s="39">
        <v>0.17</v>
      </c>
      <c r="T28" s="79">
        <f t="shared" si="2"/>
        <v>0.17</v>
      </c>
      <c r="U28" s="13"/>
      <c r="V28" s="5">
        <f t="shared" si="4"/>
        <v>9799.9999848924144</v>
      </c>
      <c r="X28" s="5">
        <f t="shared" si="5"/>
        <v>10875.205322049262</v>
      </c>
      <c r="Y28" s="62">
        <f t="shared" si="6"/>
        <v>-1.5107585568330251E-5</v>
      </c>
      <c r="Z28" s="5"/>
      <c r="AA28" s="63"/>
      <c r="AB28" s="64"/>
      <c r="AC28" s="65"/>
      <c r="AD28" s="32"/>
      <c r="AE28" s="32"/>
      <c r="AF28" s="33"/>
    </row>
    <row r="29" spans="3:32">
      <c r="G29" s="8">
        <v>17</v>
      </c>
      <c r="H29" s="15">
        <v>10230</v>
      </c>
      <c r="I29" s="8"/>
      <c r="J29" s="40">
        <v>44.42568</v>
      </c>
      <c r="K29" s="40">
        <v>11.99904236977218</v>
      </c>
      <c r="L29" s="40">
        <v>16.434579273024656</v>
      </c>
      <c r="M29" s="40">
        <v>5.3384652754976205</v>
      </c>
      <c r="N29" s="40">
        <v>13.875712354432824</v>
      </c>
      <c r="O29" s="5">
        <f t="shared" si="3"/>
        <v>47.647799272727283</v>
      </c>
      <c r="P29" s="68">
        <f t="shared" si="0"/>
        <v>44.42568</v>
      </c>
      <c r="Q29" s="68">
        <f t="shared" si="1"/>
        <v>47.647799272727276</v>
      </c>
      <c r="R29" s="5"/>
      <c r="S29" s="39">
        <v>0.16157455411571445</v>
      </c>
      <c r="T29" s="79">
        <f t="shared" si="2"/>
        <v>0.17</v>
      </c>
      <c r="U29" s="13"/>
      <c r="V29" s="5">
        <f>(J29/$D$16*$D$6+O29/$D$17*$D$7)*(1-S29)*(1-$D$15)</f>
        <v>10230.000000000002</v>
      </c>
      <c r="X29" s="5">
        <f t="shared" si="5"/>
        <v>11238.238560000002</v>
      </c>
      <c r="Y29" s="62">
        <f t="shared" si="6"/>
        <v>0</v>
      </c>
      <c r="Z29" s="5"/>
      <c r="AA29" s="63"/>
      <c r="AB29" s="64"/>
      <c r="AC29" s="65"/>
      <c r="AD29" s="32"/>
      <c r="AE29" s="32"/>
      <c r="AF29" s="33"/>
    </row>
    <row r="30" spans="3:32">
      <c r="G30" s="8">
        <v>18</v>
      </c>
      <c r="H30" s="15">
        <v>10230</v>
      </c>
      <c r="I30" s="8"/>
      <c r="J30" s="40">
        <v>44.42568</v>
      </c>
      <c r="K30" s="40">
        <v>12</v>
      </c>
      <c r="L30" s="40">
        <v>16.432983259359865</v>
      </c>
      <c r="M30" s="40">
        <v>5.3384652033091893</v>
      </c>
      <c r="N30" s="40">
        <v>13.876350810058225</v>
      </c>
      <c r="O30" s="5">
        <f t="shared" si="3"/>
        <v>47.647799272727283</v>
      </c>
      <c r="P30" s="68">
        <f t="shared" si="0"/>
        <v>44.42568</v>
      </c>
      <c r="Q30" s="68">
        <f t="shared" si="1"/>
        <v>47.647799272727276</v>
      </c>
      <c r="R30" s="5"/>
      <c r="S30" s="39">
        <v>0.16157455411571642</v>
      </c>
      <c r="T30" s="79">
        <f t="shared" si="2"/>
        <v>0.17</v>
      </c>
      <c r="U30" s="13"/>
      <c r="V30" s="5">
        <f t="shared" si="4"/>
        <v>10229.999999999976</v>
      </c>
      <c r="X30" s="5">
        <f t="shared" si="5"/>
        <v>11238.238560000002</v>
      </c>
      <c r="Y30" s="62">
        <f t="shared" si="6"/>
        <v>-2.3646862246096134E-11</v>
      </c>
      <c r="Z30" s="5"/>
      <c r="AA30" s="63"/>
      <c r="AB30" s="66"/>
      <c r="AC30" s="65"/>
      <c r="AD30" s="32"/>
      <c r="AE30" s="32"/>
      <c r="AF30" s="33"/>
    </row>
    <row r="31" spans="3:32">
      <c r="G31" s="8">
        <v>19</v>
      </c>
      <c r="H31" s="15">
        <v>10230</v>
      </c>
      <c r="I31" s="8"/>
      <c r="J31" s="40">
        <v>44.42568</v>
      </c>
      <c r="K31" s="40">
        <v>11.999361512071546</v>
      </c>
      <c r="L31" s="40">
        <v>16.434579460561849</v>
      </c>
      <c r="M31" s="40">
        <v>5.3378267396100263</v>
      </c>
      <c r="N31" s="40">
        <v>13.876031560483856</v>
      </c>
      <c r="O31" s="5">
        <f t="shared" si="3"/>
        <v>47.647799272727269</v>
      </c>
      <c r="P31" s="68">
        <f t="shared" si="0"/>
        <v>44.42568</v>
      </c>
      <c r="Q31" s="68">
        <f t="shared" si="1"/>
        <v>47.647799272727276</v>
      </c>
      <c r="R31" s="5"/>
      <c r="S31" s="39">
        <v>0.16157455411571164</v>
      </c>
      <c r="T31" s="79">
        <f t="shared" si="2"/>
        <v>0.17</v>
      </c>
      <c r="U31" s="13"/>
      <c r="V31" s="5">
        <f t="shared" si="4"/>
        <v>10230.000000000031</v>
      </c>
      <c r="X31" s="5">
        <f t="shared" si="5"/>
        <v>11238.238559999998</v>
      </c>
      <c r="Y31" s="62">
        <f t="shared" si="6"/>
        <v>3.092281986027956E-11</v>
      </c>
      <c r="Z31" s="5"/>
      <c r="AA31" s="63"/>
      <c r="AB31" s="66"/>
      <c r="AC31" s="65"/>
      <c r="AD31" s="32"/>
      <c r="AE31" s="32"/>
      <c r="AF31" s="33"/>
    </row>
    <row r="32" spans="3:32">
      <c r="G32" s="8">
        <v>20</v>
      </c>
      <c r="H32" s="15">
        <v>8880</v>
      </c>
      <c r="I32" s="8"/>
      <c r="J32" s="40">
        <v>44.42568</v>
      </c>
      <c r="K32" s="40">
        <v>12</v>
      </c>
      <c r="L32" s="40">
        <v>8.2834839850973498</v>
      </c>
      <c r="M32" s="40">
        <v>5.2092048566069726</v>
      </c>
      <c r="N32" s="40">
        <v>13.768474455242643</v>
      </c>
      <c r="O32" s="5">
        <f t="shared" si="3"/>
        <v>39.261163296946961</v>
      </c>
      <c r="P32" s="68">
        <f t="shared" si="0"/>
        <v>44.42568</v>
      </c>
      <c r="Q32" s="68">
        <f t="shared" si="1"/>
        <v>47.647799272727276</v>
      </c>
      <c r="R32" s="5"/>
      <c r="S32" s="39">
        <v>0.17</v>
      </c>
      <c r="T32" s="79">
        <f t="shared" si="2"/>
        <v>0.17</v>
      </c>
      <c r="U32" s="13"/>
      <c r="V32" s="5">
        <f t="shared" si="4"/>
        <v>8879.9999424135422</v>
      </c>
      <c r="X32" s="5">
        <f t="shared" si="5"/>
        <v>9854.4436239962488</v>
      </c>
      <c r="Y32" s="62">
        <f t="shared" si="6"/>
        <v>-5.7586457842262462E-5</v>
      </c>
      <c r="Z32" s="5"/>
      <c r="AA32" s="63"/>
      <c r="AB32" s="66"/>
      <c r="AC32" s="65"/>
      <c r="AD32" s="32"/>
      <c r="AE32" s="32"/>
      <c r="AF32" s="33"/>
    </row>
    <row r="33" spans="2:32">
      <c r="G33" s="8">
        <v>21</v>
      </c>
      <c r="H33" s="15">
        <v>8480</v>
      </c>
      <c r="I33" s="8"/>
      <c r="J33" s="40">
        <v>44.42568</v>
      </c>
      <c r="K33" s="40">
        <v>12.000999999999999</v>
      </c>
      <c r="L33" s="40">
        <v>5.3717063530817359</v>
      </c>
      <c r="M33" s="40">
        <v>5.3197169434590874</v>
      </c>
      <c r="N33" s="40">
        <v>13.878985855338913</v>
      </c>
      <c r="O33" s="5">
        <f t="shared" si="3"/>
        <v>36.571409151879735</v>
      </c>
      <c r="P33" s="68">
        <f t="shared" si="0"/>
        <v>44.42568</v>
      </c>
      <c r="Q33" s="68">
        <f t="shared" si="1"/>
        <v>47.647799272727276</v>
      </c>
      <c r="R33" s="5"/>
      <c r="S33" s="39">
        <v>0.17</v>
      </c>
      <c r="T33" s="79">
        <f t="shared" si="2"/>
        <v>0.17</v>
      </c>
      <c r="U33" s="13"/>
      <c r="V33" s="5">
        <f t="shared" si="4"/>
        <v>8479.9999239444678</v>
      </c>
      <c r="X33" s="5">
        <f t="shared" si="5"/>
        <v>9410.6341900601547</v>
      </c>
      <c r="Y33" s="62">
        <f t="shared" si="6"/>
        <v>-7.6055532190366648E-5</v>
      </c>
      <c r="Z33" s="5"/>
      <c r="AA33" s="63"/>
      <c r="AB33" s="66"/>
      <c r="AC33" s="65"/>
      <c r="AD33" s="32"/>
      <c r="AE33" s="32"/>
      <c r="AF33" s="33"/>
    </row>
    <row r="34" spans="2:32">
      <c r="G34" s="8">
        <v>22</v>
      </c>
      <c r="H34" s="15">
        <v>9280</v>
      </c>
      <c r="I34" s="8"/>
      <c r="J34" s="40">
        <v>44.42568</v>
      </c>
      <c r="K34" s="40">
        <v>11.999680722147493</v>
      </c>
      <c r="L34" s="40">
        <v>10.737378411699085</v>
      </c>
      <c r="M34" s="40">
        <v>5.3378267436588667</v>
      </c>
      <c r="N34" s="40">
        <v>13.876031564508748</v>
      </c>
      <c r="O34" s="5">
        <f t="shared" si="3"/>
        <v>41.950917442014195</v>
      </c>
      <c r="P34" s="68">
        <f t="shared" si="0"/>
        <v>44.42568</v>
      </c>
      <c r="Q34" s="68">
        <f t="shared" si="1"/>
        <v>47.647799272727276</v>
      </c>
      <c r="R34" s="5"/>
      <c r="S34" s="39">
        <v>0.17</v>
      </c>
      <c r="T34" s="79">
        <f t="shared" si="2"/>
        <v>0.17</v>
      </c>
      <c r="U34" s="13"/>
      <c r="V34" s="5">
        <f t="shared" si="4"/>
        <v>9279.9999608826165</v>
      </c>
      <c r="X34" s="5">
        <f t="shared" si="5"/>
        <v>10298.253057932343</v>
      </c>
      <c r="Y34" s="62">
        <f t="shared" si="6"/>
        <v>-3.9117383494158275E-5</v>
      </c>
      <c r="Z34" s="5"/>
      <c r="AA34" s="63"/>
      <c r="AB34" s="66"/>
      <c r="AC34" s="65"/>
      <c r="AD34" s="32"/>
      <c r="AE34" s="32"/>
      <c r="AF34" s="33"/>
    </row>
    <row r="35" spans="2:32">
      <c r="B35" s="27"/>
      <c r="E35" s="22"/>
      <c r="G35" s="8">
        <v>23</v>
      </c>
      <c r="H35" s="15">
        <v>9450</v>
      </c>
      <c r="I35" s="8"/>
      <c r="J35" s="40">
        <v>44.42568</v>
      </c>
      <c r="K35" s="40">
        <v>11.999680789924064</v>
      </c>
      <c r="L35" s="40">
        <v>11.879568393210825</v>
      </c>
      <c r="M35" s="40">
        <v>5.3384644087311601</v>
      </c>
      <c r="N35" s="40">
        <v>13.876350774584695</v>
      </c>
      <c r="O35" s="5">
        <f t="shared" si="3"/>
        <v>43.094064366450745</v>
      </c>
      <c r="P35" s="68">
        <f t="shared" si="0"/>
        <v>44.42568</v>
      </c>
      <c r="Q35" s="68">
        <f t="shared" si="1"/>
        <v>47.647799272727276</v>
      </c>
      <c r="R35" s="5"/>
      <c r="S35" s="39">
        <v>0.17</v>
      </c>
      <c r="T35" s="79">
        <f t="shared" si="2"/>
        <v>0.17</v>
      </c>
      <c r="U35" s="13"/>
      <c r="V35" s="5">
        <f t="shared" si="4"/>
        <v>9450.000178830438</v>
      </c>
      <c r="X35" s="5">
        <f t="shared" si="5"/>
        <v>10486.872300464373</v>
      </c>
      <c r="Y35" s="62">
        <f t="shared" si="6"/>
        <v>1.7883043801703025E-4</v>
      </c>
      <c r="Z35" s="5"/>
      <c r="AA35" s="63"/>
      <c r="AB35" s="66"/>
      <c r="AC35" s="65"/>
      <c r="AD35" s="32"/>
      <c r="AE35" s="32"/>
      <c r="AF35" s="33"/>
    </row>
    <row r="36" spans="2:32">
      <c r="B36" s="27"/>
      <c r="E36" s="22"/>
      <c r="G36" s="8">
        <v>24</v>
      </c>
      <c r="H36" s="15">
        <v>10260</v>
      </c>
      <c r="I36" s="8"/>
      <c r="J36" s="40">
        <v>44.425679999999993</v>
      </c>
      <c r="K36" s="40">
        <v>11.999361512071543</v>
      </c>
      <c r="L36" s="40">
        <v>16.433941848291415</v>
      </c>
      <c r="M36" s="40">
        <v>5.338145141804528</v>
      </c>
      <c r="N36" s="40">
        <v>13.876350770559794</v>
      </c>
      <c r="O36" s="5">
        <f t="shared" si="3"/>
        <v>47.647799272727283</v>
      </c>
      <c r="P36" s="68">
        <f t="shared" si="0"/>
        <v>44.42568</v>
      </c>
      <c r="Q36" s="68">
        <f t="shared" si="1"/>
        <v>47.647799272727276</v>
      </c>
      <c r="R36" s="5"/>
      <c r="S36" s="39">
        <v>0.1591158284679598</v>
      </c>
      <c r="T36" s="79">
        <f t="shared" si="2"/>
        <v>0.17</v>
      </c>
      <c r="U36" s="13"/>
      <c r="V36" s="5">
        <f t="shared" si="4"/>
        <v>10260.000000000002</v>
      </c>
      <c r="X36" s="5">
        <f t="shared" si="5"/>
        <v>11238.238560000002</v>
      </c>
      <c r="Y36" s="62">
        <f t="shared" si="6"/>
        <v>0</v>
      </c>
      <c r="Z36" s="5"/>
      <c r="AA36" s="63"/>
      <c r="AB36" s="66"/>
      <c r="AC36" s="65"/>
      <c r="AD36" s="32"/>
      <c r="AE36" s="32"/>
      <c r="AF36" s="33"/>
    </row>
    <row r="37" spans="2:32">
      <c r="B37" s="21"/>
      <c r="D37" s="17"/>
      <c r="E37" s="22"/>
      <c r="G37" s="8">
        <v>25</v>
      </c>
      <c r="H37" s="15">
        <v>10260</v>
      </c>
      <c r="I37" s="8"/>
      <c r="J37" s="40">
        <v>44.425679999999964</v>
      </c>
      <c r="K37" s="40">
        <v>11.99904236977218</v>
      </c>
      <c r="L37" s="40">
        <v>16.43458046237367</v>
      </c>
      <c r="M37" s="40">
        <v>5.3384640223969422</v>
      </c>
      <c r="N37" s="40">
        <v>13.875712418184484</v>
      </c>
      <c r="O37" s="5">
        <f t="shared" si="3"/>
        <v>47.647799272727276</v>
      </c>
      <c r="P37" s="68">
        <f t="shared" si="0"/>
        <v>44.42568</v>
      </c>
      <c r="Q37" s="68">
        <f t="shared" si="1"/>
        <v>47.647799272727276</v>
      </c>
      <c r="R37" s="5"/>
      <c r="S37" s="39">
        <v>0.15911582846795971</v>
      </c>
      <c r="T37" s="79">
        <f t="shared" si="2"/>
        <v>0.17</v>
      </c>
      <c r="U37" s="13"/>
      <c r="V37" s="5">
        <f t="shared" si="4"/>
        <v>10260</v>
      </c>
      <c r="X37" s="5">
        <f t="shared" si="5"/>
        <v>11238.238559999998</v>
      </c>
      <c r="Y37" s="62">
        <f t="shared" si="6"/>
        <v>0</v>
      </c>
      <c r="Z37" s="5"/>
      <c r="AA37" s="63"/>
      <c r="AB37" s="66"/>
      <c r="AC37" s="65"/>
      <c r="AD37" s="32"/>
      <c r="AE37" s="32"/>
      <c r="AF37" s="33"/>
    </row>
    <row r="38" spans="2:32">
      <c r="B38" s="27"/>
      <c r="E38" s="22"/>
      <c r="G38" s="8">
        <v>26</v>
      </c>
      <c r="H38" s="15">
        <v>10260</v>
      </c>
      <c r="I38" s="8"/>
      <c r="J38" s="40">
        <v>44.425679999999964</v>
      </c>
      <c r="K38" s="40">
        <v>11.999680722147492</v>
      </c>
      <c r="L38" s="40">
        <v>16.434261655697512</v>
      </c>
      <c r="M38" s="40">
        <v>5.3381442701782236</v>
      </c>
      <c r="N38" s="40">
        <v>13.875712624704056</v>
      </c>
      <c r="O38" s="5">
        <f t="shared" si="3"/>
        <v>47.647799272727283</v>
      </c>
      <c r="P38" s="68">
        <f t="shared" si="0"/>
        <v>44.42568</v>
      </c>
      <c r="Q38" s="68">
        <f t="shared" si="1"/>
        <v>47.647799272727276</v>
      </c>
      <c r="R38" s="5"/>
      <c r="S38" s="39">
        <v>0.15911582846795982</v>
      </c>
      <c r="T38" s="79">
        <f t="shared" si="2"/>
        <v>0.17</v>
      </c>
      <c r="U38" s="13"/>
      <c r="V38" s="5">
        <f t="shared" si="4"/>
        <v>10259.999999999998</v>
      </c>
      <c r="X38" s="5">
        <f t="shared" si="5"/>
        <v>11238.23856</v>
      </c>
      <c r="Y38" s="62">
        <f t="shared" si="6"/>
        <v>0</v>
      </c>
      <c r="Z38" s="5"/>
      <c r="AA38" s="63"/>
      <c r="AB38" s="66"/>
      <c r="AC38" s="65"/>
      <c r="AD38" s="32"/>
      <c r="AE38" s="32"/>
      <c r="AF38" s="33"/>
    </row>
    <row r="39" spans="2:32">
      <c r="B39" s="27"/>
      <c r="E39" s="22"/>
      <c r="G39" s="8">
        <v>27</v>
      </c>
      <c r="H39" s="15">
        <v>10260</v>
      </c>
      <c r="I39" s="8"/>
      <c r="J39" s="40">
        <v>44.425679999999971</v>
      </c>
      <c r="K39" s="40">
        <v>12</v>
      </c>
      <c r="L39" s="40">
        <v>16.394234460503156</v>
      </c>
      <c r="M39" s="40">
        <v>5.3378263351723403</v>
      </c>
      <c r="N39" s="40">
        <v>13.915738477051773</v>
      </c>
      <c r="O39" s="5">
        <f t="shared" si="3"/>
        <v>47.647799272727269</v>
      </c>
      <c r="P39" s="68">
        <f t="shared" si="0"/>
        <v>44.42568</v>
      </c>
      <c r="Q39" s="68">
        <f t="shared" si="1"/>
        <v>47.647799272727276</v>
      </c>
      <c r="R39" s="5"/>
      <c r="S39" s="39">
        <v>0.15911582846795963</v>
      </c>
      <c r="T39" s="79">
        <f t="shared" si="2"/>
        <v>0.17</v>
      </c>
      <c r="U39" s="13"/>
      <c r="V39" s="5">
        <f t="shared" si="4"/>
        <v>10259.999999999998</v>
      </c>
      <c r="X39" s="5">
        <f t="shared" si="5"/>
        <v>11238.238559999998</v>
      </c>
      <c r="Y39" s="62">
        <f t="shared" si="6"/>
        <v>0</v>
      </c>
      <c r="Z39" s="5"/>
      <c r="AA39" s="63"/>
      <c r="AB39" s="66"/>
      <c r="AC39" s="65"/>
      <c r="AD39" s="32"/>
      <c r="AE39" s="32"/>
      <c r="AF39" s="33"/>
    </row>
    <row r="40" spans="2:32">
      <c r="B40" s="27"/>
      <c r="E40" s="22"/>
      <c r="G40" s="8">
        <v>28</v>
      </c>
      <c r="H40" s="15">
        <v>4560</v>
      </c>
      <c r="I40" s="8"/>
      <c r="J40" s="40">
        <v>9.2553499999999982</v>
      </c>
      <c r="K40" s="40">
        <v>12</v>
      </c>
      <c r="L40" s="40">
        <v>5.2953634051258112</v>
      </c>
      <c r="M40" s="40">
        <v>1.4018511456785074</v>
      </c>
      <c r="N40" s="40">
        <v>7.7052780414883753</v>
      </c>
      <c r="O40" s="5">
        <f t="shared" si="3"/>
        <v>26.402492592292695</v>
      </c>
      <c r="P40" s="68">
        <f t="shared" si="0"/>
        <v>9.2553499999999982</v>
      </c>
      <c r="Q40" s="68">
        <f t="shared" si="1"/>
        <v>47.647799272727276</v>
      </c>
      <c r="R40" s="5"/>
      <c r="S40" s="39">
        <v>0.17</v>
      </c>
      <c r="T40" s="79">
        <f t="shared" si="2"/>
        <v>0.17</v>
      </c>
      <c r="U40" s="13"/>
      <c r="V40" s="5">
        <f>(J40/$D$16*$D$6+O40/$D$17*$D$7)*(1-S40)*(1-$D$15)</f>
        <v>4560</v>
      </c>
      <c r="X40" s="5">
        <f t="shared" si="5"/>
        <v>5059.8178777282947</v>
      </c>
      <c r="Y40" s="62">
        <f t="shared" si="6"/>
        <v>0</v>
      </c>
      <c r="Z40" s="5"/>
      <c r="AA40" s="63">
        <v>19</v>
      </c>
      <c r="AB40" s="66"/>
      <c r="AC40" s="65"/>
      <c r="AD40" s="32"/>
      <c r="AE40" s="32"/>
      <c r="AF40" s="33"/>
    </row>
    <row r="41" spans="2:32">
      <c r="B41" s="27"/>
      <c r="E41" s="22"/>
      <c r="G41" s="8">
        <v>29</v>
      </c>
      <c r="H41" s="15">
        <v>6960</v>
      </c>
      <c r="I41" s="8"/>
      <c r="J41" s="40">
        <v>11.10642</v>
      </c>
      <c r="K41" s="40">
        <v>12.000999999999999</v>
      </c>
      <c r="L41" s="40">
        <v>13.332675423934678</v>
      </c>
      <c r="M41" s="40">
        <v>3.8978056672180124</v>
      </c>
      <c r="N41" s="40">
        <v>12.457394977250052</v>
      </c>
      <c r="O41" s="5">
        <f t="shared" si="3"/>
        <v>41.688876068402742</v>
      </c>
      <c r="P41" s="68">
        <f t="shared" si="0"/>
        <v>11.10642</v>
      </c>
      <c r="Q41" s="68">
        <f t="shared" si="1"/>
        <v>47.647799272727276</v>
      </c>
      <c r="R41" s="5"/>
      <c r="S41" s="39">
        <v>0.17</v>
      </c>
      <c r="T41" s="79">
        <f t="shared" si="2"/>
        <v>0.17</v>
      </c>
      <c r="U41" s="13"/>
      <c r="V41" s="5">
        <f t="shared" si="4"/>
        <v>6960.0000000000009</v>
      </c>
      <c r="X41" s="5">
        <f t="shared" si="5"/>
        <v>7722.7524712864524</v>
      </c>
      <c r="Y41" s="62">
        <f t="shared" si="6"/>
        <v>0</v>
      </c>
      <c r="Z41" s="5"/>
      <c r="AA41" s="63">
        <v>18</v>
      </c>
      <c r="AB41" s="66"/>
      <c r="AC41" s="65"/>
      <c r="AD41" s="32"/>
      <c r="AE41" s="32"/>
      <c r="AF41" s="33"/>
    </row>
    <row r="42" spans="2:32">
      <c r="G42" s="8">
        <v>30</v>
      </c>
      <c r="H42" s="15">
        <v>9860</v>
      </c>
      <c r="I42" s="8"/>
      <c r="J42" s="40">
        <v>44.42568</v>
      </c>
      <c r="K42" s="40">
        <v>12</v>
      </c>
      <c r="L42" s="40">
        <v>14.638161037317323</v>
      </c>
      <c r="M42" s="40">
        <v>5.337506677910576</v>
      </c>
      <c r="N42" s="40">
        <v>13.875393237133791</v>
      </c>
      <c r="O42" s="5">
        <f t="shared" si="3"/>
        <v>45.851060952361692</v>
      </c>
      <c r="P42" s="68">
        <f t="shared" si="0"/>
        <v>44.42568</v>
      </c>
      <c r="Q42" s="68">
        <f t="shared" si="1"/>
        <v>47.647799272727276</v>
      </c>
      <c r="R42" s="5"/>
      <c r="S42" s="39">
        <v>0.17</v>
      </c>
      <c r="T42" s="79">
        <f t="shared" si="2"/>
        <v>0.17</v>
      </c>
      <c r="U42" s="13"/>
      <c r="V42" s="5">
        <f t="shared" si="4"/>
        <v>9859.9999876627789</v>
      </c>
      <c r="X42" s="5">
        <f t="shared" si="5"/>
        <v>10941.776737139679</v>
      </c>
      <c r="Y42" s="62">
        <f t="shared" si="6"/>
        <v>-1.2337221050984226E-5</v>
      </c>
      <c r="Z42" s="5"/>
      <c r="AA42" s="63"/>
      <c r="AB42" s="66"/>
      <c r="AC42" s="65"/>
      <c r="AD42" s="32"/>
      <c r="AE42" s="32"/>
      <c r="AF42" s="33"/>
    </row>
    <row r="43" spans="2:32">
      <c r="G43" s="8">
        <v>31</v>
      </c>
      <c r="H43" s="15">
        <v>10260</v>
      </c>
      <c r="I43" s="8"/>
      <c r="J43" s="40">
        <v>44.42568</v>
      </c>
      <c r="K43" s="40">
        <v>12</v>
      </c>
      <c r="L43" s="40">
        <v>16.434899424082076</v>
      </c>
      <c r="M43" s="40">
        <v>5.3375066857308218</v>
      </c>
      <c r="N43" s="40">
        <v>13.875393162914383</v>
      </c>
      <c r="O43" s="5">
        <f t="shared" si="3"/>
        <v>47.647799272727283</v>
      </c>
      <c r="P43" s="68">
        <f t="shared" si="0"/>
        <v>44.42568</v>
      </c>
      <c r="Q43" s="68">
        <f t="shared" si="1"/>
        <v>47.647799272727276</v>
      </c>
      <c r="R43" s="5"/>
      <c r="S43" s="39">
        <v>0.1591158284679598</v>
      </c>
      <c r="T43" s="79">
        <f t="shared" si="2"/>
        <v>0.17</v>
      </c>
      <c r="U43" s="13"/>
      <c r="V43" s="5">
        <f t="shared" si="4"/>
        <v>10260.000000000002</v>
      </c>
      <c r="X43" s="5">
        <f t="shared" si="5"/>
        <v>11238.238560000002</v>
      </c>
      <c r="Y43" s="62">
        <f t="shared" si="6"/>
        <v>0</v>
      </c>
      <c r="Z43" s="5"/>
      <c r="AA43" s="63"/>
      <c r="AB43" s="66"/>
      <c r="AC43" s="65"/>
      <c r="AD43" s="32"/>
      <c r="AE43" s="32"/>
      <c r="AF43" s="33"/>
    </row>
    <row r="45" spans="2:32">
      <c r="G45" s="3" t="s">
        <v>1</v>
      </c>
      <c r="H45" s="8"/>
      <c r="I45" s="8"/>
      <c r="J45" s="5">
        <f t="shared" ref="J45:O45" si="7">SUM(J13:J43)</f>
        <v>1308.7064900000009</v>
      </c>
      <c r="K45" s="5">
        <f t="shared" si="7"/>
        <v>310</v>
      </c>
      <c r="L45" s="5">
        <f t="shared" si="7"/>
        <v>407.99999998797568</v>
      </c>
      <c r="M45" s="5">
        <f t="shared" si="7"/>
        <v>103</v>
      </c>
      <c r="N45" s="5">
        <f t="shared" si="7"/>
        <v>504.18346543112835</v>
      </c>
      <c r="O45" s="5">
        <f t="shared" si="7"/>
        <v>1325.1834654191043</v>
      </c>
      <c r="P45" s="5"/>
      <c r="Q45" s="10"/>
      <c r="R45" s="8"/>
      <c r="S45" s="38">
        <f>AVERAGE(S13:S43)</f>
        <v>0.16525481411653728</v>
      </c>
      <c r="T45" s="8"/>
      <c r="U45" s="36"/>
      <c r="V45" s="8"/>
      <c r="W45" s="3"/>
      <c r="X45" s="8"/>
      <c r="Y45" s="61"/>
      <c r="Z45" s="8"/>
      <c r="AB45" s="18"/>
    </row>
    <row r="46" spans="2:32">
      <c r="G46" s="3" t="s">
        <v>2</v>
      </c>
      <c r="H46" s="8"/>
      <c r="I46" s="8"/>
      <c r="J46" s="34">
        <f>E20</f>
        <v>900</v>
      </c>
      <c r="K46" s="2">
        <f>E22</f>
        <v>310</v>
      </c>
      <c r="L46" s="2">
        <f>E23</f>
        <v>408</v>
      </c>
      <c r="M46" s="2">
        <f>E24</f>
        <v>103</v>
      </c>
      <c r="N46" s="2">
        <f>E25</f>
        <v>200</v>
      </c>
      <c r="O46" s="3"/>
      <c r="P46" s="34"/>
      <c r="Q46" s="10"/>
      <c r="R46" s="8"/>
      <c r="S46" s="8"/>
      <c r="T46" s="8"/>
      <c r="U46" s="36"/>
      <c r="V46" s="8"/>
      <c r="W46" s="3"/>
      <c r="X46" s="8"/>
      <c r="Y46" s="61"/>
      <c r="Z46" s="8"/>
    </row>
    <row r="47" spans="2:32">
      <c r="G47" s="3" t="s">
        <v>3</v>
      </c>
      <c r="H47" s="8"/>
      <c r="I47" s="8"/>
      <c r="J47" s="5">
        <f>J45-J46</f>
        <v>408.70649000000094</v>
      </c>
      <c r="K47" s="5">
        <f>K45-K46</f>
        <v>0</v>
      </c>
      <c r="L47" s="5">
        <f>L45-L46</f>
        <v>-1.2024315765302163E-8</v>
      </c>
      <c r="M47" s="5">
        <f>M45-M46</f>
        <v>0</v>
      </c>
      <c r="N47" s="5">
        <f>N45-N46</f>
        <v>304.18346543112835</v>
      </c>
      <c r="O47" s="3"/>
      <c r="P47" s="34"/>
      <c r="Q47" s="10"/>
      <c r="R47" s="8"/>
      <c r="S47" s="8"/>
      <c r="T47" s="8"/>
      <c r="U47" s="36"/>
      <c r="V47" s="8"/>
      <c r="W47" s="3"/>
      <c r="X47" s="8"/>
      <c r="Y47" s="61"/>
      <c r="Z47" s="8"/>
    </row>
    <row r="49" spans="7:21">
      <c r="G49" s="4"/>
      <c r="H49" s="4"/>
      <c r="I49" s="4"/>
      <c r="J49" s="4"/>
      <c r="K49" s="5"/>
      <c r="L49" s="5"/>
      <c r="T49" s="20"/>
      <c r="U49" s="20"/>
    </row>
    <row r="50" spans="7:21">
      <c r="G50" s="4"/>
      <c r="H50" s="4"/>
      <c r="I50" s="4"/>
      <c r="J50" s="4"/>
      <c r="K50" s="12"/>
      <c r="L50" s="12"/>
    </row>
    <row r="60" spans="7:21">
      <c r="K60" s="5"/>
      <c r="L60" s="5"/>
      <c r="M60" s="5"/>
      <c r="N60" s="5"/>
    </row>
  </sheetData>
  <mergeCells count="3">
    <mergeCell ref="K11:Q11"/>
    <mergeCell ref="AA2:AC2"/>
    <mergeCell ref="H1:M3"/>
  </mergeCells>
  <conditionalFormatting sqref="S13:S43">
    <cfRule type="cellIs" dxfId="0" priority="1" stopIfTrue="1" operator="lessThan">
      <formula>0.12</formula>
    </cfRule>
  </conditionalFormatting>
  <pageMargins left="0.511811024" right="0.511811024" top="0.78740157499999996" bottom="0.78740157499999996" header="0.31496062000000002" footer="0.31496062000000002"/>
  <pageSetup paperSize="9" orientation="landscape" horizontalDpi="300" verticalDpi="0" copies="0" r:id="rId1"/>
  <ignoredErrors>
    <ignoredError sqref="O13:O43" formulaRange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Relatório de resposta 1</vt:lpstr>
      <vt:lpstr>Relatório de sensibilidade 1</vt:lpstr>
      <vt:lpstr>Relatório de limites 1</vt:lpstr>
      <vt:lpstr>Otimizador</vt:lpstr>
    </vt:vector>
  </TitlesOfParts>
  <Company>Grupo USIMINAS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ui69930</dc:creator>
  <cp:lastModifiedBy>ui02173</cp:lastModifiedBy>
  <dcterms:created xsi:type="dcterms:W3CDTF">2014-09-23T13:58:12Z</dcterms:created>
  <dcterms:modified xsi:type="dcterms:W3CDTF">2014-12-15T18:08:41Z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 reqver=&quot;16160&quot;&gt;&lt;version val=&quot;17973&quot;/&gt;&lt;CXlWorkbook id=&quot;1&quot;&gt;&lt;m_cxllink/&gt;&lt;/CXlWorkbook&gt;&lt;/root&gt;">
    <vt:bool>false</vt:bool>
  </property>
</Properties>
</file>